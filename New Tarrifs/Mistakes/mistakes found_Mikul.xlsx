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C90449-3707-431E-AE0F-C01FBA25A2B0}" xr6:coauthVersionLast="47" xr6:coauthVersionMax="47" xr10:uidLastSave="{00000000-0000-0000-0000-000000000000}"/>
  <bookViews>
    <workbookView xWindow="-108" yWindow="-108" windowWidth="23256" windowHeight="12456" activeTab="1" xr2:uid="{9D5108BF-DDC9-4646-A708-6F746EA42A1A}"/>
  </bookViews>
  <sheets>
    <sheet name="Sheet1" sheetId="5" r:id="rId1"/>
    <sheet name="Sheet2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4" i="7" l="1"/>
  <c r="AJ24" i="7" s="1"/>
  <c r="AH24" i="7"/>
  <c r="AG24" i="7"/>
  <c r="AE24" i="7"/>
  <c r="A24" i="7"/>
  <c r="AI23" i="7"/>
  <c r="AJ23" i="7" s="1"/>
  <c r="AG23" i="7"/>
  <c r="AE23" i="7"/>
  <c r="AH23" i="7" s="1"/>
  <c r="A23" i="7"/>
  <c r="AI22" i="7"/>
  <c r="AJ22" i="7" s="1"/>
  <c r="AH22" i="7"/>
  <c r="AG22" i="7"/>
  <c r="AF22" i="7"/>
  <c r="AE22" i="7"/>
  <c r="A22" i="7"/>
</calcChain>
</file>

<file path=xl/sharedStrings.xml><?xml version="1.0" encoding="utf-8"?>
<sst xmlns="http://schemas.openxmlformats.org/spreadsheetml/2006/main" count="757" uniqueCount="240">
  <si>
    <t>17001</t>
  </si>
  <si>
    <t>ASSAM HOSPITALS LIMITED – GUWAHATI</t>
  </si>
  <si>
    <t xml:space="preserve">  </t>
  </si>
  <si>
    <t>Consultation fee</t>
  </si>
  <si>
    <t>Consultation</t>
  </si>
  <si>
    <t>OUTSIDE PACKAGE</t>
  </si>
  <si>
    <t>A1116816</t>
  </si>
  <si>
    <t>Dr.CARDIAC GROUP   (CARDIOLOGY)</t>
  </si>
  <si>
    <t>Wards Others</t>
  </si>
  <si>
    <t>REFERRAL</t>
  </si>
  <si>
    <t>Medical</t>
  </si>
  <si>
    <t>Equipment</t>
  </si>
  <si>
    <t>General Surgery</t>
  </si>
  <si>
    <t>Investigations</t>
  </si>
  <si>
    <t>BioChemistry</t>
  </si>
  <si>
    <t>A1042843</t>
  </si>
  <si>
    <t>A46</t>
  </si>
  <si>
    <t>HEMOGLOBIN (AUTOMATION)</t>
  </si>
  <si>
    <t>Haematology</t>
  </si>
  <si>
    <t>Microbiology</t>
  </si>
  <si>
    <t>A26</t>
  </si>
  <si>
    <t>ERYTHROCYTE SEDIMENTATION RATE (ESR)</t>
  </si>
  <si>
    <t>A25</t>
  </si>
  <si>
    <t>DIFFERENTIAL LEUCOCYTIC COUNT</t>
  </si>
  <si>
    <t>Emergency Medical Services</t>
  </si>
  <si>
    <t>Room Rent</t>
  </si>
  <si>
    <t>A2127</t>
  </si>
  <si>
    <t>ROOM RENT</t>
  </si>
  <si>
    <t>A188</t>
  </si>
  <si>
    <t>AST (SGOT) - SERUM</t>
  </si>
  <si>
    <t>A197</t>
  </si>
  <si>
    <t>BILIRUBIN, TOTAL - SERUM</t>
  </si>
  <si>
    <t>A258</t>
  </si>
  <si>
    <t>GGTP: GAMMA GLUTAMYL TRANSPEPTIDASE - SERUM</t>
  </si>
  <si>
    <t>A439</t>
  </si>
  <si>
    <t>BILIRUBIN CONJUGATED (DIRECT) - SERUM</t>
  </si>
  <si>
    <t>INTERNAL MEDICINE</t>
  </si>
  <si>
    <t>DAY CARE</t>
  </si>
  <si>
    <t>ICU</t>
  </si>
  <si>
    <t>CREATININE - serum</t>
  </si>
  <si>
    <t>A1639</t>
  </si>
  <si>
    <t>ECG</t>
  </si>
  <si>
    <t>E C G</t>
  </si>
  <si>
    <t>A997</t>
  </si>
  <si>
    <t>ANTI HCV ANTIBODIES</t>
  </si>
  <si>
    <t>A4515</t>
  </si>
  <si>
    <t>HBSAG</t>
  </si>
  <si>
    <t>SERVOFLAME</t>
  </si>
  <si>
    <t>Operation Theatre</t>
  </si>
  <si>
    <t>Hospital services (others)</t>
  </si>
  <si>
    <t>Invasive Procedures</t>
  </si>
  <si>
    <t>ORTHOPAEDICS</t>
  </si>
  <si>
    <t>DELUXE</t>
  </si>
  <si>
    <t>IOCL</t>
  </si>
  <si>
    <t>NEURO ICU</t>
  </si>
  <si>
    <t>SEMI PRIVATE-AC</t>
  </si>
  <si>
    <t>A1116833</t>
  </si>
  <si>
    <t>Dr.GASTRO AND LIVER DISEASES GE GROUP</t>
  </si>
  <si>
    <t>A2810018</t>
  </si>
  <si>
    <t>DIATHERMY PENCIL(NEURO)FLEXIBLE</t>
  </si>
  <si>
    <t>A270</t>
  </si>
  <si>
    <t>GLUCOSE - PLASMA (RANDOM)</t>
  </si>
  <si>
    <t>A954</t>
  </si>
  <si>
    <t>BLOOD GROUPING AND TYPING</t>
  </si>
  <si>
    <t>Blood Bank - 2 Services</t>
  </si>
  <si>
    <t>Non Invasive Procedure</t>
  </si>
  <si>
    <t>IOCL BAMUNIMAIDAM IP AGREEMENT</t>
  </si>
  <si>
    <t xml:space="preserve">MAILENG THAM DGO  </t>
  </si>
  <si>
    <t>OBSTETRICS AND GYNAECOLOGY</t>
  </si>
  <si>
    <t>Obstretics and Gynaecology</t>
  </si>
  <si>
    <t>IOC- IP AGREEMENT(NOONMATI)</t>
  </si>
  <si>
    <t xml:space="preserve">UNIT I MEDICINE Dr.S.B.Das DR.T BISWAS </t>
  </si>
  <si>
    <t>AC GENERAL WARD</t>
  </si>
  <si>
    <t>A1116855</t>
  </si>
  <si>
    <t>Dr.S B DAS   (INTERNAL MEDICINE)</t>
  </si>
  <si>
    <t>GENERAL SURGERY</t>
  </si>
  <si>
    <t>A6912</t>
  </si>
  <si>
    <t>LAP ADHESIOLYSIS-( SURGERY)</t>
  </si>
  <si>
    <t>DEPT OF GASTRO AND LIVER DISEASES GROUP</t>
  </si>
  <si>
    <t>GASTROENTEROLOGY</t>
  </si>
  <si>
    <t>MOTHER BED CHARGE</t>
  </si>
  <si>
    <t>WOUND DEBRIDMENT</t>
  </si>
  <si>
    <t xml:space="preserve">apneaap kuch bhi amt taken </t>
  </si>
  <si>
    <t xml:space="preserve">NOT IN SOC BUT AMT FETCH KIYA HUA H </t>
  </si>
  <si>
    <t xml:space="preserve">C CHONZIK  MS  </t>
  </si>
  <si>
    <t>AHLG-ICR-22451</t>
  </si>
  <si>
    <t>Mr. DHRUV  MOUDGIL</t>
  </si>
  <si>
    <t>AHLGIP70315</t>
  </si>
  <si>
    <t xml:space="preserve">PARTHA PHUKAN MS ,FMAS  </t>
  </si>
  <si>
    <t>AHLG-ICR-22447</t>
  </si>
  <si>
    <t>Ms. FIDDHA RAHAMAN BARBHUIYA</t>
  </si>
  <si>
    <t>AHLGIP70302</t>
  </si>
  <si>
    <t>Ear Nose and Throat</t>
  </si>
  <si>
    <t>NASAL ENDOSCPOY</t>
  </si>
  <si>
    <t>A1113713</t>
  </si>
  <si>
    <t>AHLG-ICR-21977</t>
  </si>
  <si>
    <t>Mrs. RITA  DAS</t>
  </si>
  <si>
    <t>AHLGIP68842</t>
  </si>
  <si>
    <t>REMOVAL OF CAST EMERGENCY</t>
  </si>
  <si>
    <t>A3025239</t>
  </si>
  <si>
    <t>SDU</t>
  </si>
  <si>
    <t xml:space="preserve">UNIT 2 MEDICINE GROUP  </t>
  </si>
  <si>
    <t>AHLG-ICR-22504</t>
  </si>
  <si>
    <t>Mr. ANUP  DEV</t>
  </si>
  <si>
    <t>AHLGIP69715</t>
  </si>
  <si>
    <t xml:space="preserve">ELBERT KHIANGTE MS  </t>
  </si>
  <si>
    <t>AHLG-ICR-21783</t>
  </si>
  <si>
    <t>Mrs. JAYA  DAS</t>
  </si>
  <si>
    <t>AHLGIP68548</t>
  </si>
  <si>
    <t>DIATHERMY PENCIL(NIKO PEN)</t>
  </si>
  <si>
    <t>A2810016</t>
  </si>
  <si>
    <t>AHLG-ICR-22298</t>
  </si>
  <si>
    <t>Mrs. SAMPA RANI DAS</t>
  </si>
  <si>
    <t>AHLGIP69937</t>
  </si>
  <si>
    <t>Gastroenterology</t>
  </si>
  <si>
    <t>COLONOSCOPY BEDSIDE</t>
  </si>
  <si>
    <t>A3019906</t>
  </si>
  <si>
    <t>AHLG-ICR-21795</t>
  </si>
  <si>
    <t>Mr. RATNESWAR  SARMA</t>
  </si>
  <si>
    <t>AHLGIP68346</t>
  </si>
  <si>
    <t>COLONOSCOPY BEDSIDE PROFESSIONAL CHARGE</t>
  </si>
  <si>
    <t>A3019907</t>
  </si>
  <si>
    <t>AVF BRACHIOCEPHALIC</t>
  </si>
  <si>
    <t>A3010724</t>
  </si>
  <si>
    <t>Urology</t>
  </si>
  <si>
    <t>CYSTOSCOPY-SURGERY</t>
  </si>
  <si>
    <t>A1079451</t>
  </si>
  <si>
    <t>UROLOGY</t>
  </si>
  <si>
    <t xml:space="preserve">AMLAN JYOTI SARMAH  </t>
  </si>
  <si>
    <t>AHLG-ICR-23094</t>
  </si>
  <si>
    <t>Mr. NARENDRA  ARJYA</t>
  </si>
  <si>
    <t>AHLGIP72194</t>
  </si>
  <si>
    <t>WRONG AMT TAKEN OUT OF NOWHERE</t>
  </si>
  <si>
    <t>BED CHARGES PER HOUR (DAYCARE)</t>
  </si>
  <si>
    <t>A19628</t>
  </si>
  <si>
    <t xml:space="preserve">HIGHER RATE CHARGED IN IT </t>
  </si>
  <si>
    <t>AHLG-ICR-22343</t>
  </si>
  <si>
    <t>Mrs. RANU PRABHA DAS</t>
  </si>
  <si>
    <t>AHLGIP69982</t>
  </si>
  <si>
    <t xml:space="preserve">AMT TAKEN OUT OF NO WHERE SOC MEI NAHI HAI </t>
  </si>
  <si>
    <t>Dr.ELBERT KHIANGTE   (GENERAL SURGERY)</t>
  </si>
  <si>
    <t>A1116841</t>
  </si>
  <si>
    <t>AHLG-ICR-20822</t>
  </si>
  <si>
    <t>Mrs. HINGA  .</t>
  </si>
  <si>
    <t>AHLGIP65384</t>
  </si>
  <si>
    <t>AHLG-ICR-21096</t>
  </si>
  <si>
    <t>Mrs. ANITA  BHUYAN</t>
  </si>
  <si>
    <t>AHLGIP66162</t>
  </si>
  <si>
    <t>Dr.JOYDEEP GHOSH   (ORTHOPAEDICS)</t>
  </si>
  <si>
    <t>A1116884</t>
  </si>
  <si>
    <t xml:space="preserve">JOYDEEP GHOSH MS DNB FNB  </t>
  </si>
  <si>
    <t>AHLG-ICR-22230</t>
  </si>
  <si>
    <t>Mrs. SABITRI  BARMAN</t>
  </si>
  <si>
    <t>AHLGIP68640</t>
  </si>
  <si>
    <t>Dr.MUKESH KUMAR AGARWAL   (ORTHOPAEDICS)</t>
  </si>
  <si>
    <t>A1116885</t>
  </si>
  <si>
    <t xml:space="preserve">MUKESH KUMAR AGARWAL MS DNB  </t>
  </si>
  <si>
    <t>AHLG-ICR-23349</t>
  </si>
  <si>
    <t>Mrs. RANJANA  DEKA</t>
  </si>
  <si>
    <t>AHLGIP72442</t>
  </si>
  <si>
    <t>Dr.PANKAJ BHARADWAJ   (PLASTIC SURGERY)</t>
  </si>
  <si>
    <t>A1116892</t>
  </si>
  <si>
    <t>AHLG-ICR-23292</t>
  </si>
  <si>
    <t>Mrs. BISHNUMAYA  SHAH</t>
  </si>
  <si>
    <t>AHLGIP72083</t>
  </si>
  <si>
    <t xml:space="preserve">AMT GALAT FETCH KIYA HUA H </t>
  </si>
  <si>
    <t xml:space="preserve">ARUN MADHAB BARUAH MD FICOG  </t>
  </si>
  <si>
    <t>AHLG-ICR-21019</t>
  </si>
  <si>
    <t>Mrs. JAYEETA  CHAKRABORTY</t>
  </si>
  <si>
    <t>AHLGIP66205</t>
  </si>
  <si>
    <t>SOC MEI H HI NAHI PATA NAHI KAHA SE AMT FETCH KAR LIYA</t>
  </si>
  <si>
    <t>Pulmonary Function Lab</t>
  </si>
  <si>
    <t>FOB WITH BAL</t>
  </si>
  <si>
    <t>A2810442</t>
  </si>
  <si>
    <t>AHLG-ICR-22220</t>
  </si>
  <si>
    <t>Mr. KALINDRA NATH KAKATI</t>
  </si>
  <si>
    <t>AHLGIP69163</t>
  </si>
  <si>
    <t>ISMEI BHI PATA NAHI KAHA SE AMT LELIYA</t>
  </si>
  <si>
    <t>AHLG-ICR-21599</t>
  </si>
  <si>
    <t>Mrs. HABIBA  KHATUN</t>
  </si>
  <si>
    <t>AHLGIP67804</t>
  </si>
  <si>
    <t xml:space="preserve">DAY CARE WALA H </t>
  </si>
  <si>
    <t>AHLG-ICR-23063</t>
  </si>
  <si>
    <t>Mrs. NILIMA  GOSWAMI</t>
  </si>
  <si>
    <t>AHLGIP72226</t>
  </si>
  <si>
    <t xml:space="preserve">TOOK GALAT AMT </t>
  </si>
  <si>
    <t>COLONOSCOPY FULL</t>
  </si>
  <si>
    <t>A3019908</t>
  </si>
  <si>
    <t>AHLG-ICR-21224</t>
  </si>
  <si>
    <t>Mr. TEJEN CHANDRA MEDHI</t>
  </si>
  <si>
    <t>AHLGIP66907</t>
  </si>
  <si>
    <t>Remarks</t>
  </si>
  <si>
    <t xml:space="preserve">Problems found in IOCL sheet - SOC is the specific one taken for iocl  </t>
  </si>
  <si>
    <t>AHLGIP71613</t>
  </si>
  <si>
    <t>Mr. ROSHAN  ISLAM</t>
  </si>
  <si>
    <t>AC01.0003096541</t>
  </si>
  <si>
    <t>AHLG-ICR-22866</t>
  </si>
  <si>
    <t xml:space="preserve">ANKUR AGARWAL MS ,DNB  </t>
  </si>
  <si>
    <t>13260486</t>
  </si>
  <si>
    <t>ONGC NAZIRA LIMITED</t>
  </si>
  <si>
    <t>Private Company</t>
  </si>
  <si>
    <t>ONGC NAZIRA LIMITED IP AGREEMENT</t>
  </si>
  <si>
    <t>Shortly Billed</t>
  </si>
  <si>
    <t>6697822</t>
  </si>
  <si>
    <t>Excess Billed</t>
  </si>
  <si>
    <t>Round Off Difference</t>
  </si>
  <si>
    <t>AHLGIP67136</t>
  </si>
  <si>
    <t>Mrs. ARCHANA  BORUAH</t>
  </si>
  <si>
    <t>AHLG.0001043975</t>
  </si>
  <si>
    <t>AHLG-ICS-46307</t>
  </si>
  <si>
    <t>12818196</t>
  </si>
  <si>
    <t>A596</t>
  </si>
  <si>
    <t>CERVICAL/VAGINAL SMEAR</t>
  </si>
  <si>
    <t>Histopathology</t>
  </si>
  <si>
    <t>A1051909</t>
  </si>
  <si>
    <t>GENEXPERT HPV (HUMAN PAPILLOMA VIRUS) DETECTION</t>
  </si>
  <si>
    <t>AHLGIP67962</t>
  </si>
  <si>
    <t>Mr. JIBON CHANDRA BORA</t>
  </si>
  <si>
    <t>AHBG.0000320356</t>
  </si>
  <si>
    <t>AHLG-ICR-21577</t>
  </si>
  <si>
    <t>12897031</t>
  </si>
  <si>
    <t>A1115703</t>
  </si>
  <si>
    <t>HPE-RE (1 BLOCK)</t>
  </si>
  <si>
    <t>12895702</t>
  </si>
  <si>
    <t>AHLGIP72008</t>
  </si>
  <si>
    <t>Mr. AKHIL CHANDRA KONWAR</t>
  </si>
  <si>
    <t>AHLG.0001027365</t>
  </si>
  <si>
    <t>AHLG-ICR-23170</t>
  </si>
  <si>
    <t>PULMONOLOGY GROUP K R SARMAH SUSHMITA CHOUDHURY</t>
  </si>
  <si>
    <t>PULMONOLOGY</t>
  </si>
  <si>
    <t>737766</t>
  </si>
  <si>
    <t>A1113176</t>
  </si>
  <si>
    <t>VENTILATOR  CHARGE PER HOUR -GENERAL</t>
  </si>
  <si>
    <t>10010050</t>
  </si>
  <si>
    <t>A1102805</t>
  </si>
  <si>
    <t>ENDOSCOPIC SONOGRAPHY(DIAGNOSTIC)</t>
  </si>
  <si>
    <t>Consultations</t>
  </si>
  <si>
    <t>A1102793</t>
  </si>
  <si>
    <t>ENDOSCOPIC SONOGRAPHY(DIAGNOSTIC) PROCEDURE CHARGE</t>
  </si>
  <si>
    <t xml:space="preserve">Problems has also been found in ONGC Nazira sheet - wrong amount taken in various services , here are some , tariff template 2024 to be followed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</si>
</sst>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0409]m/d/yyyy\ h:mm:ss\ AM/PM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333333"/>
      <name val="Bookman Old Style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333333"/>
      <name val="Bookman Old Style"/>
      <family val="1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43" fontId="2" fillId="0" borderId="2" xfId="1" applyFont="1" applyFill="1" applyBorder="1" applyAlignment="1"/>
    <xf numFmtId="0" fontId="3" fillId="0" borderId="2" xfId="0" applyFont="1" applyBorder="1"/>
    <xf numFmtId="164" fontId="1" fillId="2" borderId="1" xfId="0" applyNumberFormat="1" applyFont="1" applyFill="1" applyBorder="1" applyAlignment="1">
      <alignment horizontal="left" vertical="center" readingOrder="1"/>
    </xf>
    <xf numFmtId="0" fontId="4" fillId="2" borderId="2" xfId="0" applyFont="1" applyFill="1" applyBorder="1" applyAlignment="1">
      <alignment horizontal="center" vertical="center" readingOrder="1"/>
    </xf>
    <xf numFmtId="0" fontId="1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3" fillId="0" borderId="3" xfId="0" applyFont="1" applyBorder="1"/>
    <xf numFmtId="0" fontId="1" fillId="3" borderId="2" xfId="0" applyFont="1" applyFill="1" applyBorder="1" applyAlignment="1">
      <alignment horizontal="left" vertical="center" readingOrder="1"/>
    </xf>
    <xf numFmtId="0" fontId="6" fillId="3" borderId="2" xfId="0" applyFont="1" applyFill="1" applyBorder="1"/>
    <xf numFmtId="0" fontId="5" fillId="0" borderId="0" xfId="0" applyFont="1"/>
    <xf numFmtId="0" fontId="4" fillId="2" borderId="1" xfId="0" applyFont="1" applyFill="1" applyBorder="1" applyAlignment="1">
      <alignment horizontal="left" vertical="center" readingOrder="1"/>
    </xf>
    <xf numFmtId="164" fontId="4" fillId="2" borderId="1" xfId="0" applyNumberFormat="1" applyFont="1" applyFill="1" applyBorder="1" applyAlignment="1">
      <alignment horizontal="left" vertical="center" readingOrder="1"/>
    </xf>
    <xf numFmtId="165" fontId="0" fillId="0" borderId="2" xfId="1" applyNumberFormat="1" applyFont="1" applyFill="1" applyBorder="1" applyAlignment="1"/>
    <xf numFmtId="0" fontId="7" fillId="0" borderId="2" xfId="0" applyFont="1" applyBorder="1"/>
    <xf numFmtId="0" fontId="0" fillId="0" borderId="2" xfId="0" applyBorder="1"/>
  </cellXfs>
  <cellStyles count="2">
    <cellStyle name="Comma 2 2 2" xfId="1" xr:uid="{286F6EA8-3899-4308-8091-4B9F4BCF082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72B8-51C8-4A46-80FF-4CDC27E8E3BA}">
  <dimension ref="A2:AC29"/>
  <sheetViews>
    <sheetView workbookViewId="0"/>
  </sheetViews>
  <sheetFormatPr defaultRowHeight="14.4" x14ac:dyDescent="0.3"/>
  <sheetData>
    <row r="2" spans="1:29" x14ac:dyDescent="0.3">
      <c r="A2" s="11" t="s">
        <v>192</v>
      </c>
    </row>
    <row r="3" spans="1:29" x14ac:dyDescent="0.3">
      <c r="U3" s="10" t="s">
        <v>191</v>
      </c>
    </row>
    <row r="4" spans="1:29" x14ac:dyDescent="0.3">
      <c r="A4" s="1" t="s">
        <v>190</v>
      </c>
      <c r="B4" s="1" t="s">
        <v>189</v>
      </c>
      <c r="C4" s="4">
        <v>46025.697410717599</v>
      </c>
      <c r="D4" s="1" t="s">
        <v>188</v>
      </c>
      <c r="E4" s="1" t="s">
        <v>78</v>
      </c>
      <c r="F4" s="1" t="s">
        <v>79</v>
      </c>
      <c r="G4" s="1" t="s">
        <v>65</v>
      </c>
      <c r="H4" s="4">
        <v>46024.091429699103</v>
      </c>
      <c r="I4" s="4">
        <v>46024.091429699103</v>
      </c>
      <c r="J4" s="1" t="s">
        <v>52</v>
      </c>
      <c r="K4" s="6" t="s">
        <v>187</v>
      </c>
      <c r="L4" s="1" t="s">
        <v>186</v>
      </c>
      <c r="M4" s="1" t="s">
        <v>114</v>
      </c>
      <c r="N4" s="1">
        <v>1</v>
      </c>
      <c r="O4" s="1">
        <v>1601.6</v>
      </c>
      <c r="P4" s="1">
        <v>1601.6</v>
      </c>
      <c r="Q4" s="1" t="s">
        <v>5</v>
      </c>
      <c r="R4" s="1" t="s">
        <v>53</v>
      </c>
      <c r="S4" s="1" t="s">
        <v>70</v>
      </c>
      <c r="U4" s="9" t="s">
        <v>185</v>
      </c>
    </row>
    <row r="5" spans="1:29" x14ac:dyDescent="0.3">
      <c r="A5" s="1" t="s">
        <v>169</v>
      </c>
      <c r="B5" s="1" t="s">
        <v>168</v>
      </c>
      <c r="C5" s="4">
        <v>46008.438487048603</v>
      </c>
      <c r="D5" s="1" t="s">
        <v>167</v>
      </c>
      <c r="E5" s="1" t="s">
        <v>166</v>
      </c>
      <c r="F5" s="1" t="s">
        <v>68</v>
      </c>
      <c r="G5" s="1" t="s">
        <v>3</v>
      </c>
      <c r="H5" s="4">
        <v>46007.512037036999</v>
      </c>
      <c r="I5" s="4">
        <v>46007.512037036999</v>
      </c>
      <c r="J5" s="1" t="s">
        <v>55</v>
      </c>
      <c r="K5" s="6" t="s">
        <v>73</v>
      </c>
      <c r="L5" s="1" t="s">
        <v>74</v>
      </c>
      <c r="M5" s="1" t="s">
        <v>4</v>
      </c>
      <c r="N5" s="1">
        <v>1</v>
      </c>
      <c r="O5" s="1">
        <v>900</v>
      </c>
      <c r="P5" s="1">
        <v>900</v>
      </c>
      <c r="Q5" s="1" t="s">
        <v>5</v>
      </c>
      <c r="R5" s="1" t="s">
        <v>53</v>
      </c>
      <c r="S5" s="1" t="s">
        <v>70</v>
      </c>
      <c r="U5" s="9" t="s">
        <v>165</v>
      </c>
    </row>
    <row r="6" spans="1:29" x14ac:dyDescent="0.3">
      <c r="A6" s="1" t="s">
        <v>184</v>
      </c>
      <c r="B6" s="1" t="s">
        <v>183</v>
      </c>
      <c r="C6" s="4">
        <v>46158.7152003472</v>
      </c>
      <c r="D6" s="1" t="s">
        <v>182</v>
      </c>
      <c r="E6" s="1" t="s">
        <v>128</v>
      </c>
      <c r="F6" s="1" t="s">
        <v>127</v>
      </c>
      <c r="G6" s="1" t="s">
        <v>25</v>
      </c>
      <c r="H6" s="4">
        <v>46158.401481481502</v>
      </c>
      <c r="I6" s="4">
        <v>46158.401481481502</v>
      </c>
      <c r="J6" s="1" t="s">
        <v>37</v>
      </c>
      <c r="K6" s="6" t="s">
        <v>26</v>
      </c>
      <c r="L6" s="1" t="s">
        <v>27</v>
      </c>
      <c r="M6" s="1" t="s">
        <v>8</v>
      </c>
      <c r="N6" s="1">
        <v>1</v>
      </c>
      <c r="O6" s="1">
        <v>880</v>
      </c>
      <c r="P6" s="1">
        <v>880</v>
      </c>
      <c r="Q6" s="1" t="s">
        <v>5</v>
      </c>
      <c r="R6" s="1" t="s">
        <v>53</v>
      </c>
      <c r="S6" s="1" t="s">
        <v>70</v>
      </c>
      <c r="U6" s="9" t="s">
        <v>181</v>
      </c>
    </row>
    <row r="7" spans="1:29" x14ac:dyDescent="0.3">
      <c r="A7" s="1" t="s">
        <v>176</v>
      </c>
      <c r="B7" s="1" t="s">
        <v>175</v>
      </c>
      <c r="C7" s="4">
        <v>46096.466163356497</v>
      </c>
      <c r="D7" s="1" t="s">
        <v>174</v>
      </c>
      <c r="E7" s="1" t="s">
        <v>101</v>
      </c>
      <c r="F7" s="1" t="s">
        <v>36</v>
      </c>
      <c r="G7" s="1" t="s">
        <v>65</v>
      </c>
      <c r="H7" s="4">
        <v>46086.618490127301</v>
      </c>
      <c r="I7" s="4">
        <v>46086.618490127301</v>
      </c>
      <c r="J7" s="1" t="s">
        <v>54</v>
      </c>
      <c r="K7" s="7" t="s">
        <v>173</v>
      </c>
      <c r="L7" s="1" t="s">
        <v>172</v>
      </c>
      <c r="M7" s="1" t="s">
        <v>171</v>
      </c>
      <c r="N7" s="1">
        <v>1</v>
      </c>
      <c r="O7" s="1">
        <v>2112</v>
      </c>
      <c r="P7" s="1">
        <v>2112</v>
      </c>
      <c r="Q7" s="1" t="s">
        <v>5</v>
      </c>
      <c r="R7" s="1" t="s">
        <v>53</v>
      </c>
      <c r="S7" s="1" t="s">
        <v>70</v>
      </c>
      <c r="U7" s="9" t="s">
        <v>170</v>
      </c>
    </row>
    <row r="8" spans="1:29" x14ac:dyDescent="0.3">
      <c r="A8" s="1" t="s">
        <v>113</v>
      </c>
      <c r="B8" s="1" t="s">
        <v>112</v>
      </c>
      <c r="C8" s="4">
        <v>46101.725920833298</v>
      </c>
      <c r="D8" s="1" t="s">
        <v>111</v>
      </c>
      <c r="E8" s="1" t="s">
        <v>67</v>
      </c>
      <c r="F8" s="1" t="s">
        <v>68</v>
      </c>
      <c r="G8" s="1" t="s">
        <v>49</v>
      </c>
      <c r="H8" s="4">
        <v>46101.441666666702</v>
      </c>
      <c r="I8" s="4">
        <v>46101.441666666702</v>
      </c>
      <c r="J8" s="1" t="s">
        <v>37</v>
      </c>
      <c r="K8" s="6" t="s">
        <v>134</v>
      </c>
      <c r="L8" s="1" t="s">
        <v>133</v>
      </c>
      <c r="M8" s="1" t="s">
        <v>24</v>
      </c>
      <c r="N8" s="1">
        <v>1</v>
      </c>
      <c r="O8" s="1">
        <v>1800</v>
      </c>
      <c r="P8" s="1">
        <v>1800</v>
      </c>
      <c r="Q8" s="1" t="s">
        <v>5</v>
      </c>
      <c r="R8" s="1" t="s">
        <v>53</v>
      </c>
      <c r="S8" s="1" t="s">
        <v>70</v>
      </c>
      <c r="U8" s="9" t="s">
        <v>132</v>
      </c>
    </row>
    <row r="9" spans="1:29" x14ac:dyDescent="0.3">
      <c r="A9" s="1" t="s">
        <v>131</v>
      </c>
      <c r="B9" s="1" t="s">
        <v>130</v>
      </c>
      <c r="C9" s="4">
        <v>46160.704818298596</v>
      </c>
      <c r="D9" s="1" t="s">
        <v>129</v>
      </c>
      <c r="E9" s="1" t="s">
        <v>128</v>
      </c>
      <c r="F9" s="1" t="s">
        <v>127</v>
      </c>
      <c r="G9" s="1" t="s">
        <v>50</v>
      </c>
      <c r="H9" s="4">
        <v>46158.664663854201</v>
      </c>
      <c r="I9" s="4">
        <v>46158.664663854201</v>
      </c>
      <c r="J9" s="1" t="s">
        <v>72</v>
      </c>
      <c r="K9" s="6" t="s">
        <v>126</v>
      </c>
      <c r="L9" s="1" t="s">
        <v>125</v>
      </c>
      <c r="M9" s="1" t="s">
        <v>124</v>
      </c>
      <c r="N9" s="1">
        <v>1</v>
      </c>
      <c r="O9" s="1">
        <v>4750</v>
      </c>
      <c r="P9" s="1">
        <v>4750</v>
      </c>
      <c r="Q9" s="1" t="s">
        <v>5</v>
      </c>
      <c r="R9" s="1" t="s">
        <v>53</v>
      </c>
      <c r="S9" s="1" t="s">
        <v>70</v>
      </c>
      <c r="U9" s="9" t="s">
        <v>83</v>
      </c>
      <c r="AC9" s="1"/>
    </row>
    <row r="10" spans="1:29" x14ac:dyDescent="0.3">
      <c r="A10" s="1" t="s">
        <v>108</v>
      </c>
      <c r="B10" s="1" t="s">
        <v>107</v>
      </c>
      <c r="C10" s="4">
        <v>46064.875607187503</v>
      </c>
      <c r="D10" s="1" t="s">
        <v>106</v>
      </c>
      <c r="E10" s="1" t="s">
        <v>105</v>
      </c>
      <c r="F10" s="1" t="s">
        <v>75</v>
      </c>
      <c r="G10" s="1" t="s">
        <v>50</v>
      </c>
      <c r="H10" s="4">
        <v>46064.657185451397</v>
      </c>
      <c r="I10" s="4">
        <v>46064.657185451397</v>
      </c>
      <c r="J10" s="1" t="s">
        <v>37</v>
      </c>
      <c r="K10" s="6" t="s">
        <v>123</v>
      </c>
      <c r="L10" s="1" t="s">
        <v>122</v>
      </c>
      <c r="M10" s="1" t="s">
        <v>12</v>
      </c>
      <c r="N10" s="1">
        <v>1</v>
      </c>
      <c r="O10" s="1">
        <v>17100</v>
      </c>
      <c r="P10" s="1">
        <v>17100</v>
      </c>
      <c r="Q10" s="1" t="s">
        <v>5</v>
      </c>
      <c r="R10" s="1" t="s">
        <v>53</v>
      </c>
      <c r="S10" s="1" t="s">
        <v>70</v>
      </c>
      <c r="U10" s="9" t="s">
        <v>83</v>
      </c>
      <c r="AC10" s="1"/>
    </row>
    <row r="11" spans="1:29" x14ac:dyDescent="0.3">
      <c r="A11" s="1" t="s">
        <v>119</v>
      </c>
      <c r="B11" s="1" t="s">
        <v>118</v>
      </c>
      <c r="C11" s="4">
        <v>46065.715113726903</v>
      </c>
      <c r="D11" s="1" t="s">
        <v>117</v>
      </c>
      <c r="E11" s="1" t="s">
        <v>78</v>
      </c>
      <c r="F11" s="1" t="s">
        <v>79</v>
      </c>
      <c r="G11" s="1" t="s">
        <v>3</v>
      </c>
      <c r="H11" s="4">
        <v>46060.401747685202</v>
      </c>
      <c r="I11" s="4">
        <v>46060.401747685202</v>
      </c>
      <c r="J11" s="1" t="s">
        <v>38</v>
      </c>
      <c r="K11" s="6" t="s">
        <v>121</v>
      </c>
      <c r="L11" s="1" t="s">
        <v>120</v>
      </c>
      <c r="M11" s="1" t="s">
        <v>114</v>
      </c>
      <c r="N11" s="1">
        <v>1</v>
      </c>
      <c r="O11" s="1">
        <v>6530</v>
      </c>
      <c r="P11" s="1">
        <v>6530</v>
      </c>
      <c r="Q11" s="1" t="s">
        <v>5</v>
      </c>
      <c r="R11" s="1" t="s">
        <v>53</v>
      </c>
      <c r="S11" s="1" t="s">
        <v>70</v>
      </c>
      <c r="U11" s="9" t="s">
        <v>83</v>
      </c>
    </row>
    <row r="12" spans="1:29" x14ac:dyDescent="0.3">
      <c r="A12" s="1" t="s">
        <v>119</v>
      </c>
      <c r="B12" s="1" t="s">
        <v>118</v>
      </c>
      <c r="C12" s="4">
        <v>46065.715113726903</v>
      </c>
      <c r="D12" s="1" t="s">
        <v>117</v>
      </c>
      <c r="E12" s="1" t="s">
        <v>78</v>
      </c>
      <c r="F12" s="1" t="s">
        <v>79</v>
      </c>
      <c r="G12" s="1" t="s">
        <v>65</v>
      </c>
      <c r="H12" s="4">
        <v>46060.401748541699</v>
      </c>
      <c r="I12" s="4">
        <v>46060.401748541699</v>
      </c>
      <c r="J12" s="1" t="s">
        <v>38</v>
      </c>
      <c r="K12" s="6" t="s">
        <v>116</v>
      </c>
      <c r="L12" s="1" t="s">
        <v>115</v>
      </c>
      <c r="M12" s="1" t="s">
        <v>114</v>
      </c>
      <c r="N12" s="1">
        <v>1</v>
      </c>
      <c r="O12" s="1">
        <v>5764</v>
      </c>
      <c r="P12" s="1">
        <v>5764</v>
      </c>
      <c r="Q12" s="1" t="s">
        <v>5</v>
      </c>
      <c r="R12" s="1" t="s">
        <v>53</v>
      </c>
      <c r="S12" s="1" t="s">
        <v>70</v>
      </c>
      <c r="U12" s="9" t="s">
        <v>83</v>
      </c>
    </row>
    <row r="13" spans="1:29" x14ac:dyDescent="0.3">
      <c r="A13" s="1" t="s">
        <v>113</v>
      </c>
      <c r="B13" s="1" t="s">
        <v>112</v>
      </c>
      <c r="C13" s="4">
        <v>46101.725920833298</v>
      </c>
      <c r="D13" s="1" t="s">
        <v>111</v>
      </c>
      <c r="E13" s="1" t="s">
        <v>67</v>
      </c>
      <c r="F13" s="1" t="s">
        <v>68</v>
      </c>
      <c r="G13" s="1" t="s">
        <v>11</v>
      </c>
      <c r="H13" s="4">
        <v>46101.541666666701</v>
      </c>
      <c r="I13" s="4">
        <v>46101.541666666701</v>
      </c>
      <c r="J13" s="1" t="s">
        <v>37</v>
      </c>
      <c r="K13" s="6" t="s">
        <v>110</v>
      </c>
      <c r="L13" s="1" t="s">
        <v>109</v>
      </c>
      <c r="M13" s="1" t="s">
        <v>48</v>
      </c>
      <c r="N13" s="1">
        <v>1</v>
      </c>
      <c r="O13" s="1">
        <v>200</v>
      </c>
      <c r="P13" s="1">
        <v>200</v>
      </c>
      <c r="Q13" s="1" t="s">
        <v>5</v>
      </c>
      <c r="R13" s="1" t="s">
        <v>53</v>
      </c>
      <c r="S13" s="1" t="s">
        <v>70</v>
      </c>
      <c r="U13" s="9" t="s">
        <v>83</v>
      </c>
    </row>
    <row r="14" spans="1:29" x14ac:dyDescent="0.3">
      <c r="A14" s="1" t="s">
        <v>108</v>
      </c>
      <c r="B14" s="1" t="s">
        <v>107</v>
      </c>
      <c r="C14" s="4">
        <v>46064.875607187503</v>
      </c>
      <c r="D14" s="1" t="s">
        <v>106</v>
      </c>
      <c r="E14" s="1" t="s">
        <v>105</v>
      </c>
      <c r="F14" s="1" t="s">
        <v>75</v>
      </c>
      <c r="G14" s="1" t="s">
        <v>11</v>
      </c>
      <c r="H14" s="4">
        <v>46064.65625</v>
      </c>
      <c r="I14" s="4">
        <v>46064.65625</v>
      </c>
      <c r="J14" s="1" t="s">
        <v>37</v>
      </c>
      <c r="K14" s="6" t="s">
        <v>58</v>
      </c>
      <c r="L14" s="1" t="s">
        <v>59</v>
      </c>
      <c r="M14" s="1" t="s">
        <v>48</v>
      </c>
      <c r="N14" s="1">
        <v>1</v>
      </c>
      <c r="O14" s="1">
        <v>1200</v>
      </c>
      <c r="P14" s="1">
        <v>1200</v>
      </c>
      <c r="Q14" s="1" t="s">
        <v>5</v>
      </c>
      <c r="R14" s="1" t="s">
        <v>53</v>
      </c>
      <c r="S14" s="1" t="s">
        <v>70</v>
      </c>
      <c r="U14" s="9" t="s">
        <v>83</v>
      </c>
    </row>
    <row r="15" spans="1:29" x14ac:dyDescent="0.3">
      <c r="A15" s="1" t="s">
        <v>104</v>
      </c>
      <c r="B15" s="1" t="s">
        <v>103</v>
      </c>
      <c r="C15" s="4">
        <v>46117.3381682986</v>
      </c>
      <c r="D15" s="1" t="s">
        <v>102</v>
      </c>
      <c r="E15" s="1" t="s">
        <v>101</v>
      </c>
      <c r="F15" s="1" t="s">
        <v>36</v>
      </c>
      <c r="G15" s="1" t="s">
        <v>3</v>
      </c>
      <c r="H15" s="4">
        <v>46099.110787037003</v>
      </c>
      <c r="I15" s="4">
        <v>46099.110787037003</v>
      </c>
      <c r="J15" s="1" t="s">
        <v>100</v>
      </c>
      <c r="K15" s="6" t="s">
        <v>99</v>
      </c>
      <c r="L15" s="1" t="s">
        <v>98</v>
      </c>
      <c r="M15" s="1" t="s">
        <v>24</v>
      </c>
      <c r="N15" s="1">
        <v>1</v>
      </c>
      <c r="O15" s="1">
        <v>280</v>
      </c>
      <c r="P15" s="1">
        <v>280</v>
      </c>
      <c r="Q15" s="1" t="s">
        <v>5</v>
      </c>
      <c r="R15" s="1" t="s">
        <v>53</v>
      </c>
      <c r="S15" s="1" t="s">
        <v>70</v>
      </c>
      <c r="U15" s="9" t="s">
        <v>83</v>
      </c>
    </row>
    <row r="16" spans="1:29" x14ac:dyDescent="0.3">
      <c r="A16" s="1" t="s">
        <v>97</v>
      </c>
      <c r="B16" s="1" t="s">
        <v>96</v>
      </c>
      <c r="C16" s="4">
        <v>46078.754250370403</v>
      </c>
      <c r="D16" s="1" t="s">
        <v>95</v>
      </c>
      <c r="E16" s="1" t="s">
        <v>71</v>
      </c>
      <c r="F16" s="1" t="s">
        <v>36</v>
      </c>
      <c r="G16" s="1" t="s">
        <v>50</v>
      </c>
      <c r="H16" s="4">
        <v>46076.843919432897</v>
      </c>
      <c r="I16" s="4">
        <v>46076.843919432897</v>
      </c>
      <c r="J16" s="1" t="s">
        <v>72</v>
      </c>
      <c r="K16" s="7" t="s">
        <v>94</v>
      </c>
      <c r="L16" s="1" t="s">
        <v>93</v>
      </c>
      <c r="M16" s="1" t="s">
        <v>92</v>
      </c>
      <c r="N16" s="1">
        <v>1</v>
      </c>
      <c r="O16" s="1">
        <v>1900</v>
      </c>
      <c r="P16" s="1">
        <v>1900</v>
      </c>
      <c r="Q16" s="1" t="s">
        <v>5</v>
      </c>
      <c r="R16" s="1" t="s">
        <v>53</v>
      </c>
      <c r="S16" s="1" t="s">
        <v>70</v>
      </c>
      <c r="U16" s="9" t="s">
        <v>83</v>
      </c>
    </row>
    <row r="17" spans="1:23" x14ac:dyDescent="0.3">
      <c r="A17" s="1" t="s">
        <v>91</v>
      </c>
      <c r="B17" s="1" t="s">
        <v>90</v>
      </c>
      <c r="C17" s="4">
        <v>46113.702761516201</v>
      </c>
      <c r="D17" s="1" t="s">
        <v>89</v>
      </c>
      <c r="E17" s="1" t="s">
        <v>88</v>
      </c>
      <c r="F17" s="1" t="s">
        <v>75</v>
      </c>
      <c r="G17" s="1" t="s">
        <v>50</v>
      </c>
      <c r="H17" s="4">
        <v>46111.645138888904</v>
      </c>
      <c r="I17" s="4">
        <v>46111.645138888904</v>
      </c>
      <c r="J17" s="1" t="s">
        <v>55</v>
      </c>
      <c r="K17" s="6" t="s">
        <v>76</v>
      </c>
      <c r="L17" s="1" t="s">
        <v>77</v>
      </c>
      <c r="M17" s="1" t="s">
        <v>69</v>
      </c>
      <c r="N17" s="1">
        <v>1</v>
      </c>
      <c r="O17" s="1">
        <v>6555</v>
      </c>
      <c r="P17" s="1">
        <v>6555</v>
      </c>
      <c r="Q17" s="1" t="s">
        <v>5</v>
      </c>
      <c r="R17" s="1" t="s">
        <v>53</v>
      </c>
      <c r="S17" s="1" t="s">
        <v>70</v>
      </c>
      <c r="U17" s="9" t="s">
        <v>83</v>
      </c>
      <c r="V17" s="8"/>
      <c r="W17" s="2"/>
    </row>
    <row r="18" spans="1:23" x14ac:dyDescent="0.3">
      <c r="A18" s="1" t="s">
        <v>87</v>
      </c>
      <c r="B18" s="1" t="s">
        <v>86</v>
      </c>
      <c r="C18" s="4">
        <v>46113.753594421301</v>
      </c>
      <c r="D18" s="1" t="s">
        <v>85</v>
      </c>
      <c r="E18" s="1" t="s">
        <v>84</v>
      </c>
      <c r="F18" s="1" t="s">
        <v>75</v>
      </c>
      <c r="G18" s="1" t="s">
        <v>50</v>
      </c>
      <c r="H18" s="4">
        <v>46111.709451643503</v>
      </c>
      <c r="I18" s="4">
        <v>46111.709451643503</v>
      </c>
      <c r="J18" s="1" t="s">
        <v>55</v>
      </c>
      <c r="K18" s="6" t="s">
        <v>76</v>
      </c>
      <c r="L18" s="1" t="s">
        <v>77</v>
      </c>
      <c r="M18" s="1" t="s">
        <v>69</v>
      </c>
      <c r="N18" s="1">
        <v>1</v>
      </c>
      <c r="O18" s="1">
        <v>6555</v>
      </c>
      <c r="P18" s="1">
        <v>6555</v>
      </c>
      <c r="Q18" s="1" t="s">
        <v>5</v>
      </c>
      <c r="R18" s="1" t="s">
        <v>53</v>
      </c>
      <c r="S18" s="1" t="s">
        <v>66</v>
      </c>
      <c r="U18" s="9" t="s">
        <v>83</v>
      </c>
      <c r="V18" s="8"/>
      <c r="W18" s="2"/>
    </row>
    <row r="19" spans="1:23" x14ac:dyDescent="0.3">
      <c r="A19" s="1" t="s">
        <v>144</v>
      </c>
      <c r="B19" s="1" t="s">
        <v>143</v>
      </c>
      <c r="C19" s="4">
        <v>45994.707066516203</v>
      </c>
      <c r="D19" s="1" t="s">
        <v>142</v>
      </c>
      <c r="E19" s="1" t="s">
        <v>105</v>
      </c>
      <c r="F19" s="1" t="s">
        <v>75</v>
      </c>
      <c r="G19" s="1" t="s">
        <v>3</v>
      </c>
      <c r="H19" s="4">
        <v>45993.6738078704</v>
      </c>
      <c r="I19" s="4">
        <v>45993.6738078704</v>
      </c>
      <c r="J19" s="1" t="s">
        <v>55</v>
      </c>
      <c r="K19" s="6" t="s">
        <v>141</v>
      </c>
      <c r="L19" s="1" t="s">
        <v>140</v>
      </c>
      <c r="M19" s="1" t="s">
        <v>4</v>
      </c>
      <c r="N19" s="1">
        <v>1</v>
      </c>
      <c r="O19" s="1">
        <v>1000</v>
      </c>
      <c r="P19" s="1">
        <v>1000</v>
      </c>
      <c r="Q19" s="1" t="s">
        <v>5</v>
      </c>
      <c r="R19" s="1" t="s">
        <v>53</v>
      </c>
      <c r="S19" s="1" t="s">
        <v>70</v>
      </c>
      <c r="U19" s="9" t="s">
        <v>139</v>
      </c>
    </row>
    <row r="20" spans="1:23" x14ac:dyDescent="0.3">
      <c r="A20" s="1" t="s">
        <v>144</v>
      </c>
      <c r="B20" s="1" t="s">
        <v>143</v>
      </c>
      <c r="C20" s="4">
        <v>45994.707066516203</v>
      </c>
      <c r="D20" s="1" t="s">
        <v>142</v>
      </c>
      <c r="E20" s="1" t="s">
        <v>105</v>
      </c>
      <c r="F20" s="1" t="s">
        <v>75</v>
      </c>
      <c r="G20" s="1" t="s">
        <v>3</v>
      </c>
      <c r="H20" s="4">
        <v>45994.547083333302</v>
      </c>
      <c r="I20" s="4">
        <v>45994.547083333302</v>
      </c>
      <c r="J20" s="1" t="s">
        <v>55</v>
      </c>
      <c r="K20" s="6" t="s">
        <v>141</v>
      </c>
      <c r="L20" s="1" t="s">
        <v>140</v>
      </c>
      <c r="M20" s="1" t="s">
        <v>4</v>
      </c>
      <c r="N20" s="1">
        <v>1</v>
      </c>
      <c r="O20" s="1">
        <v>1000</v>
      </c>
      <c r="P20" s="1">
        <v>1000</v>
      </c>
      <c r="Q20" s="1" t="s">
        <v>5</v>
      </c>
      <c r="R20" s="1" t="s">
        <v>53</v>
      </c>
      <c r="S20" s="1" t="s">
        <v>70</v>
      </c>
      <c r="U20" s="9" t="s">
        <v>177</v>
      </c>
    </row>
    <row r="21" spans="1:23" x14ac:dyDescent="0.3">
      <c r="A21" s="1" t="s">
        <v>180</v>
      </c>
      <c r="B21" s="1" t="s">
        <v>179</v>
      </c>
      <c r="C21" s="4">
        <v>46051.854299583298</v>
      </c>
      <c r="D21" s="1" t="s">
        <v>178</v>
      </c>
      <c r="E21" s="1" t="s">
        <v>71</v>
      </c>
      <c r="F21" s="1" t="s">
        <v>36</v>
      </c>
      <c r="G21" s="1" t="s">
        <v>3</v>
      </c>
      <c r="H21" s="4">
        <v>46047.681608796302</v>
      </c>
      <c r="I21" s="4">
        <v>46047.681608796302</v>
      </c>
      <c r="J21" s="1" t="s">
        <v>55</v>
      </c>
      <c r="K21" s="6" t="s">
        <v>73</v>
      </c>
      <c r="L21" s="1" t="s">
        <v>74</v>
      </c>
      <c r="M21" s="1" t="s">
        <v>4</v>
      </c>
      <c r="N21" s="1">
        <v>1</v>
      </c>
      <c r="O21" s="1">
        <v>900</v>
      </c>
      <c r="P21" s="1">
        <v>900</v>
      </c>
      <c r="Q21" s="1" t="s">
        <v>5</v>
      </c>
      <c r="R21" s="1" t="s">
        <v>53</v>
      </c>
      <c r="S21" s="1" t="s">
        <v>70</v>
      </c>
      <c r="U21" s="9" t="s">
        <v>177</v>
      </c>
    </row>
    <row r="22" spans="1:23" x14ac:dyDescent="0.3">
      <c r="A22" s="1" t="s">
        <v>164</v>
      </c>
      <c r="B22" s="1" t="s">
        <v>163</v>
      </c>
      <c r="C22" s="4">
        <v>46172.876426493101</v>
      </c>
      <c r="D22" s="1" t="s">
        <v>162</v>
      </c>
      <c r="E22" s="1" t="s">
        <v>78</v>
      </c>
      <c r="F22" s="1" t="s">
        <v>79</v>
      </c>
      <c r="G22" s="1" t="s">
        <v>3</v>
      </c>
      <c r="H22" s="4">
        <v>46169.628541666701</v>
      </c>
      <c r="I22" s="4">
        <v>46169.628541666701</v>
      </c>
      <c r="J22" s="1" t="s">
        <v>55</v>
      </c>
      <c r="K22" s="6" t="s">
        <v>161</v>
      </c>
      <c r="L22" s="1" t="s">
        <v>160</v>
      </c>
      <c r="M22" s="1" t="s">
        <v>4</v>
      </c>
      <c r="N22" s="1">
        <v>1</v>
      </c>
      <c r="O22" s="1">
        <v>1000</v>
      </c>
      <c r="P22" s="1">
        <v>1000</v>
      </c>
      <c r="Q22" s="1" t="s">
        <v>5</v>
      </c>
      <c r="R22" s="1" t="s">
        <v>53</v>
      </c>
      <c r="S22" s="1" t="s">
        <v>66</v>
      </c>
      <c r="U22" s="9" t="s">
        <v>135</v>
      </c>
    </row>
    <row r="23" spans="1:23" x14ac:dyDescent="0.3">
      <c r="A23" s="1" t="s">
        <v>159</v>
      </c>
      <c r="B23" s="1" t="s">
        <v>158</v>
      </c>
      <c r="C23" s="4">
        <v>46176.7475635995</v>
      </c>
      <c r="D23" s="1" t="s">
        <v>157</v>
      </c>
      <c r="E23" s="1" t="s">
        <v>156</v>
      </c>
      <c r="F23" s="1" t="s">
        <v>51</v>
      </c>
      <c r="G23" s="1" t="s">
        <v>3</v>
      </c>
      <c r="H23" s="4">
        <v>46175.885393518503</v>
      </c>
      <c r="I23" s="4">
        <v>46175.885393518503</v>
      </c>
      <c r="J23" s="1" t="s">
        <v>55</v>
      </c>
      <c r="K23" s="6" t="s">
        <v>155</v>
      </c>
      <c r="L23" s="1" t="s">
        <v>154</v>
      </c>
      <c r="M23" s="1" t="s">
        <v>4</v>
      </c>
      <c r="N23" s="1">
        <v>1</v>
      </c>
      <c r="O23" s="1">
        <v>1000</v>
      </c>
      <c r="P23" s="1">
        <v>1000</v>
      </c>
      <c r="Q23" s="1" t="s">
        <v>5</v>
      </c>
      <c r="R23" s="1" t="s">
        <v>53</v>
      </c>
      <c r="S23" s="1" t="s">
        <v>70</v>
      </c>
      <c r="U23" s="9" t="s">
        <v>135</v>
      </c>
    </row>
    <row r="24" spans="1:23" x14ac:dyDescent="0.3">
      <c r="A24" s="1" t="s">
        <v>153</v>
      </c>
      <c r="B24" s="1" t="s">
        <v>152</v>
      </c>
      <c r="C24" s="4">
        <v>46097.832567199097</v>
      </c>
      <c r="D24" s="1" t="s">
        <v>151</v>
      </c>
      <c r="E24" s="1" t="s">
        <v>150</v>
      </c>
      <c r="F24" s="1" t="s">
        <v>51</v>
      </c>
      <c r="G24" s="1" t="s">
        <v>3</v>
      </c>
      <c r="H24" s="4">
        <v>46076.9859490741</v>
      </c>
      <c r="I24" s="4">
        <v>46076.9859490741</v>
      </c>
      <c r="J24" s="1" t="s">
        <v>55</v>
      </c>
      <c r="K24" s="6" t="s">
        <v>149</v>
      </c>
      <c r="L24" s="1" t="s">
        <v>148</v>
      </c>
      <c r="M24" s="1" t="s">
        <v>4</v>
      </c>
      <c r="N24" s="1">
        <v>1</v>
      </c>
      <c r="O24" s="1">
        <v>1000</v>
      </c>
      <c r="P24" s="1">
        <v>1000</v>
      </c>
      <c r="Q24" s="1" t="s">
        <v>5</v>
      </c>
      <c r="R24" s="1" t="s">
        <v>53</v>
      </c>
      <c r="S24" s="1" t="s">
        <v>70</v>
      </c>
      <c r="U24" s="9" t="s">
        <v>135</v>
      </c>
    </row>
    <row r="25" spans="1:23" x14ac:dyDescent="0.3">
      <c r="A25" s="1" t="s">
        <v>147</v>
      </c>
      <c r="B25" s="1" t="s">
        <v>146</v>
      </c>
      <c r="C25" s="4">
        <v>46014.754017719897</v>
      </c>
      <c r="D25" s="1" t="s">
        <v>145</v>
      </c>
      <c r="E25" s="1" t="s">
        <v>101</v>
      </c>
      <c r="F25" s="1" t="s">
        <v>36</v>
      </c>
      <c r="G25" s="1" t="s">
        <v>3</v>
      </c>
      <c r="H25" s="4">
        <v>46005.658888888902</v>
      </c>
      <c r="I25" s="4">
        <v>46005.658888888902</v>
      </c>
      <c r="J25" s="1" t="s">
        <v>72</v>
      </c>
      <c r="K25" s="6" t="s">
        <v>56</v>
      </c>
      <c r="L25" s="1" t="s">
        <v>57</v>
      </c>
      <c r="M25" s="1" t="s">
        <v>4</v>
      </c>
      <c r="N25" s="1">
        <v>1</v>
      </c>
      <c r="O25" s="1">
        <v>1000</v>
      </c>
      <c r="P25" s="1">
        <v>1000</v>
      </c>
      <c r="Q25" s="1" t="s">
        <v>5</v>
      </c>
      <c r="R25" s="1" t="s">
        <v>53</v>
      </c>
      <c r="S25" s="1" t="s">
        <v>70</v>
      </c>
      <c r="U25" s="9" t="s">
        <v>135</v>
      </c>
    </row>
    <row r="26" spans="1:23" x14ac:dyDescent="0.3">
      <c r="A26" s="1" t="s">
        <v>138</v>
      </c>
      <c r="B26" s="1" t="s">
        <v>137</v>
      </c>
      <c r="C26" s="4">
        <v>46105.761811944401</v>
      </c>
      <c r="D26" s="1" t="s">
        <v>136</v>
      </c>
      <c r="E26" s="1" t="s">
        <v>101</v>
      </c>
      <c r="F26" s="1" t="s">
        <v>36</v>
      </c>
      <c r="G26" s="1" t="s">
        <v>3</v>
      </c>
      <c r="H26" s="4">
        <v>46103.761046203697</v>
      </c>
      <c r="I26" s="4">
        <v>46103.761046203697</v>
      </c>
      <c r="J26" s="1" t="s">
        <v>72</v>
      </c>
      <c r="K26" s="6" t="s">
        <v>6</v>
      </c>
      <c r="L26" s="1" t="s">
        <v>7</v>
      </c>
      <c r="M26" s="1" t="s">
        <v>4</v>
      </c>
      <c r="N26" s="1">
        <v>1</v>
      </c>
      <c r="O26" s="1">
        <v>1100</v>
      </c>
      <c r="P26" s="1">
        <v>1100</v>
      </c>
      <c r="Q26" s="1" t="s">
        <v>5</v>
      </c>
      <c r="R26" s="1" t="s">
        <v>53</v>
      </c>
      <c r="S26" s="1" t="s">
        <v>70</v>
      </c>
      <c r="U26" s="9" t="s">
        <v>135</v>
      </c>
    </row>
    <row r="27" spans="1:23" x14ac:dyDescent="0.3">
      <c r="L27" s="1" t="s">
        <v>47</v>
      </c>
      <c r="U27" s="9" t="s">
        <v>82</v>
      </c>
    </row>
    <row r="28" spans="1:23" x14ac:dyDescent="0.3">
      <c r="L28" s="1" t="s">
        <v>80</v>
      </c>
      <c r="U28" s="9" t="s">
        <v>82</v>
      </c>
    </row>
    <row r="29" spans="1:23" x14ac:dyDescent="0.3">
      <c r="L29" s="1" t="s">
        <v>81</v>
      </c>
      <c r="U2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89BA-C5F5-4D95-A94F-E1E8987FE4BA}">
  <dimension ref="A1:AL24"/>
  <sheetViews>
    <sheetView tabSelected="1" workbookViewId="0">
      <selection activeCell="N15" sqref="N15"/>
    </sheetView>
  </sheetViews>
  <sheetFormatPr defaultRowHeight="14.4" x14ac:dyDescent="0.3"/>
  <sheetData>
    <row r="1" spans="1:38" x14ac:dyDescent="0.3">
      <c r="A1" s="11" t="s">
        <v>239</v>
      </c>
    </row>
    <row r="3" spans="1:38" x14ac:dyDescent="0.3">
      <c r="A3" s="5">
        <v>2482</v>
      </c>
      <c r="B3" s="12" t="s">
        <v>0</v>
      </c>
      <c r="C3" s="12" t="s">
        <v>1</v>
      </c>
      <c r="D3" s="12" t="s">
        <v>193</v>
      </c>
      <c r="E3" s="12" t="s">
        <v>194</v>
      </c>
      <c r="F3" s="12" t="s">
        <v>195</v>
      </c>
      <c r="G3" s="13">
        <v>46144.836985162001</v>
      </c>
      <c r="H3" s="12" t="s">
        <v>196</v>
      </c>
      <c r="I3" s="12" t="s">
        <v>197</v>
      </c>
      <c r="J3" s="12" t="s">
        <v>2</v>
      </c>
      <c r="K3" s="12" t="s">
        <v>127</v>
      </c>
      <c r="L3" s="12" t="s">
        <v>13</v>
      </c>
      <c r="M3" s="13">
        <v>46144.4066087963</v>
      </c>
      <c r="N3" s="13">
        <v>46144.4066087963</v>
      </c>
      <c r="O3" s="12"/>
      <c r="P3" s="12" t="s">
        <v>198</v>
      </c>
      <c r="Q3" s="12" t="s">
        <v>37</v>
      </c>
      <c r="R3" s="12" t="s">
        <v>60</v>
      </c>
      <c r="S3" s="12" t="s">
        <v>61</v>
      </c>
      <c r="T3" s="12" t="s">
        <v>14</v>
      </c>
      <c r="U3" s="12">
        <v>1</v>
      </c>
      <c r="V3" s="12">
        <v>144.5</v>
      </c>
      <c r="W3" s="12">
        <v>144.5</v>
      </c>
      <c r="X3" s="12" t="s">
        <v>5</v>
      </c>
      <c r="Y3" s="12" t="s">
        <v>199</v>
      </c>
      <c r="Z3" s="12" t="s">
        <v>200</v>
      </c>
      <c r="AA3" s="12" t="s">
        <v>201</v>
      </c>
      <c r="AB3" s="12"/>
      <c r="AC3" s="3"/>
      <c r="AD3" s="3">
        <v>15</v>
      </c>
      <c r="AE3" s="2">
        <v>170</v>
      </c>
      <c r="AF3">
        <v>900</v>
      </c>
      <c r="AG3" s="14">
        <v>-730</v>
      </c>
      <c r="AH3" s="14">
        <v>0</v>
      </c>
      <c r="AI3" s="14">
        <v>0</v>
      </c>
      <c r="AJ3" s="15" t="s">
        <v>202</v>
      </c>
      <c r="AK3" s="16"/>
      <c r="AL3" s="3"/>
    </row>
    <row r="4" spans="1:38" x14ac:dyDescent="0.3">
      <c r="A4" s="5">
        <v>2487</v>
      </c>
      <c r="B4" s="12" t="s">
        <v>0</v>
      </c>
      <c r="C4" s="12" t="s">
        <v>1</v>
      </c>
      <c r="D4" s="12" t="s">
        <v>193</v>
      </c>
      <c r="E4" s="12" t="s">
        <v>194</v>
      </c>
      <c r="F4" s="12" t="s">
        <v>195</v>
      </c>
      <c r="G4" s="13">
        <v>46144.836985162001</v>
      </c>
      <c r="H4" s="12" t="s">
        <v>196</v>
      </c>
      <c r="I4" s="12" t="s">
        <v>197</v>
      </c>
      <c r="J4" s="12" t="s">
        <v>2</v>
      </c>
      <c r="K4" s="12" t="s">
        <v>127</v>
      </c>
      <c r="L4" s="12" t="s">
        <v>13</v>
      </c>
      <c r="M4" s="13">
        <v>46144.4066087963</v>
      </c>
      <c r="N4" s="13">
        <v>46144.4066087963</v>
      </c>
      <c r="O4" s="12"/>
      <c r="P4" s="12" t="s">
        <v>198</v>
      </c>
      <c r="Q4" s="12" t="s">
        <v>37</v>
      </c>
      <c r="R4" s="12" t="s">
        <v>62</v>
      </c>
      <c r="S4" s="12" t="s">
        <v>63</v>
      </c>
      <c r="T4" s="12" t="s">
        <v>64</v>
      </c>
      <c r="U4" s="12">
        <v>1</v>
      </c>
      <c r="V4" s="12">
        <v>195.5</v>
      </c>
      <c r="W4" s="12">
        <v>195.5</v>
      </c>
      <c r="X4" s="12" t="s">
        <v>5</v>
      </c>
      <c r="Y4" s="12" t="s">
        <v>199</v>
      </c>
      <c r="Z4" s="12" t="s">
        <v>200</v>
      </c>
      <c r="AA4" s="12" t="s">
        <v>201</v>
      </c>
      <c r="AB4" s="12"/>
      <c r="AC4" s="3"/>
      <c r="AD4" s="3">
        <v>15</v>
      </c>
      <c r="AE4" s="2">
        <v>230</v>
      </c>
      <c r="AF4">
        <v>900</v>
      </c>
      <c r="AG4" s="14">
        <v>-670</v>
      </c>
      <c r="AH4" s="14">
        <v>0</v>
      </c>
      <c r="AI4" s="14">
        <v>0</v>
      </c>
      <c r="AJ4" s="15" t="s">
        <v>202</v>
      </c>
      <c r="AK4" s="16"/>
      <c r="AL4" s="3"/>
    </row>
    <row r="5" spans="1:38" x14ac:dyDescent="0.3">
      <c r="A5" s="5">
        <v>2488</v>
      </c>
      <c r="B5" s="12" t="s">
        <v>0</v>
      </c>
      <c r="C5" s="12" t="s">
        <v>1</v>
      </c>
      <c r="D5" s="12" t="s">
        <v>193</v>
      </c>
      <c r="E5" s="12" t="s">
        <v>194</v>
      </c>
      <c r="F5" s="12" t="s">
        <v>195</v>
      </c>
      <c r="G5" s="13">
        <v>46144.836985162001</v>
      </c>
      <c r="H5" s="12" t="s">
        <v>196</v>
      </c>
      <c r="I5" s="12" t="s">
        <v>197</v>
      </c>
      <c r="J5" s="12" t="s">
        <v>2</v>
      </c>
      <c r="K5" s="12" t="s">
        <v>127</v>
      </c>
      <c r="L5" s="12" t="s">
        <v>13</v>
      </c>
      <c r="M5" s="13">
        <v>46144.4066087963</v>
      </c>
      <c r="N5" s="13">
        <v>46144.4066087963</v>
      </c>
      <c r="O5" s="12"/>
      <c r="P5" s="12" t="s">
        <v>198</v>
      </c>
      <c r="Q5" s="12" t="s">
        <v>37</v>
      </c>
      <c r="R5" s="12" t="s">
        <v>15</v>
      </c>
      <c r="S5" s="12" t="s">
        <v>39</v>
      </c>
      <c r="T5" s="12" t="s">
        <v>14</v>
      </c>
      <c r="U5" s="12">
        <v>1</v>
      </c>
      <c r="V5" s="12">
        <v>255</v>
      </c>
      <c r="W5" s="12">
        <v>255</v>
      </c>
      <c r="X5" s="12" t="s">
        <v>5</v>
      </c>
      <c r="Y5" s="12" t="s">
        <v>199</v>
      </c>
      <c r="Z5" s="12" t="s">
        <v>200</v>
      </c>
      <c r="AA5" s="12" t="s">
        <v>201</v>
      </c>
      <c r="AB5" s="12"/>
      <c r="AC5" s="3"/>
      <c r="AD5" s="3">
        <v>15</v>
      </c>
      <c r="AE5" s="2">
        <v>300</v>
      </c>
      <c r="AF5">
        <v>900</v>
      </c>
      <c r="AG5" s="14">
        <v>-600</v>
      </c>
      <c r="AH5" s="14">
        <v>0</v>
      </c>
      <c r="AI5" s="14">
        <v>0</v>
      </c>
      <c r="AJ5" s="15" t="s">
        <v>202</v>
      </c>
      <c r="AK5" s="16"/>
      <c r="AL5" s="3"/>
    </row>
    <row r="6" spans="1:38" x14ac:dyDescent="0.3">
      <c r="A6" s="5">
        <v>2490</v>
      </c>
      <c r="B6" s="12" t="s">
        <v>0</v>
      </c>
      <c r="C6" s="12" t="s">
        <v>1</v>
      </c>
      <c r="D6" s="12" t="s">
        <v>193</v>
      </c>
      <c r="E6" s="12" t="s">
        <v>194</v>
      </c>
      <c r="F6" s="12" t="s">
        <v>195</v>
      </c>
      <c r="G6" s="13">
        <v>46144.836985162001</v>
      </c>
      <c r="H6" s="12" t="s">
        <v>196</v>
      </c>
      <c r="I6" s="12" t="s">
        <v>197</v>
      </c>
      <c r="J6" s="12" t="s">
        <v>197</v>
      </c>
      <c r="K6" s="12" t="s">
        <v>127</v>
      </c>
      <c r="L6" s="12" t="s">
        <v>13</v>
      </c>
      <c r="M6" s="13">
        <v>46144.408333333296</v>
      </c>
      <c r="N6" s="13">
        <v>46144.408333333296</v>
      </c>
      <c r="O6" s="12"/>
      <c r="P6" s="12" t="s">
        <v>203</v>
      </c>
      <c r="Q6" s="12" t="s">
        <v>37</v>
      </c>
      <c r="R6" s="12" t="s">
        <v>40</v>
      </c>
      <c r="S6" s="12" t="s">
        <v>41</v>
      </c>
      <c r="T6" s="12" t="s">
        <v>42</v>
      </c>
      <c r="U6" s="12">
        <v>1</v>
      </c>
      <c r="V6" s="12">
        <v>450.5</v>
      </c>
      <c r="W6" s="12">
        <v>450.5</v>
      </c>
      <c r="X6" s="12" t="s">
        <v>5</v>
      </c>
      <c r="Y6" s="12" t="s">
        <v>199</v>
      </c>
      <c r="Z6" s="12" t="s">
        <v>200</v>
      </c>
      <c r="AA6" s="12" t="s">
        <v>201</v>
      </c>
      <c r="AB6" s="12"/>
      <c r="AC6" s="3"/>
      <c r="AD6" s="3">
        <v>15</v>
      </c>
      <c r="AE6" s="2">
        <v>530</v>
      </c>
      <c r="AF6">
        <v>900</v>
      </c>
      <c r="AG6" s="14">
        <v>-370</v>
      </c>
      <c r="AH6" s="14">
        <v>0</v>
      </c>
      <c r="AI6" s="14">
        <v>0</v>
      </c>
      <c r="AJ6" s="15" t="s">
        <v>202</v>
      </c>
      <c r="AK6" s="16"/>
      <c r="AL6" s="3"/>
    </row>
    <row r="7" spans="1:38" x14ac:dyDescent="0.3">
      <c r="A7" s="5">
        <v>2492</v>
      </c>
      <c r="B7" s="12" t="s">
        <v>0</v>
      </c>
      <c r="C7" s="12" t="s">
        <v>1</v>
      </c>
      <c r="D7" s="12" t="s">
        <v>193</v>
      </c>
      <c r="E7" s="12" t="s">
        <v>194</v>
      </c>
      <c r="F7" s="12" t="s">
        <v>195</v>
      </c>
      <c r="G7" s="13">
        <v>46144.836985162001</v>
      </c>
      <c r="H7" s="12" t="s">
        <v>196</v>
      </c>
      <c r="I7" s="12" t="s">
        <v>197</v>
      </c>
      <c r="J7" s="12" t="s">
        <v>9</v>
      </c>
      <c r="K7" s="12" t="s">
        <v>127</v>
      </c>
      <c r="L7" s="12" t="s">
        <v>13</v>
      </c>
      <c r="M7" s="13">
        <v>46144.4066087963</v>
      </c>
      <c r="N7" s="13">
        <v>46144.4066087963</v>
      </c>
      <c r="O7" s="12"/>
      <c r="P7" s="12"/>
      <c r="Q7" s="12" t="s">
        <v>37</v>
      </c>
      <c r="R7" s="12" t="s">
        <v>22</v>
      </c>
      <c r="S7" s="12" t="s">
        <v>23</v>
      </c>
      <c r="T7" s="12" t="s">
        <v>18</v>
      </c>
      <c r="U7" s="12">
        <v>1</v>
      </c>
      <c r="V7" s="12">
        <v>212.5</v>
      </c>
      <c r="W7" s="12">
        <v>212.5</v>
      </c>
      <c r="X7" s="12" t="s">
        <v>5</v>
      </c>
      <c r="Y7" s="12" t="s">
        <v>199</v>
      </c>
      <c r="Z7" s="12" t="s">
        <v>200</v>
      </c>
      <c r="AA7" s="12" t="s">
        <v>201</v>
      </c>
      <c r="AB7" s="12"/>
      <c r="AC7" s="3"/>
      <c r="AD7" s="3">
        <v>15</v>
      </c>
      <c r="AE7" s="2">
        <v>250</v>
      </c>
      <c r="AF7">
        <v>900</v>
      </c>
      <c r="AG7" s="14">
        <v>-650</v>
      </c>
      <c r="AH7" s="14">
        <v>0</v>
      </c>
      <c r="AI7" s="14">
        <v>0</v>
      </c>
      <c r="AJ7" s="15" t="s">
        <v>202</v>
      </c>
      <c r="AK7" s="16"/>
      <c r="AL7" s="3"/>
    </row>
    <row r="8" spans="1:38" x14ac:dyDescent="0.3">
      <c r="A8" s="5">
        <v>2493</v>
      </c>
      <c r="B8" s="12" t="s">
        <v>0</v>
      </c>
      <c r="C8" s="12" t="s">
        <v>1</v>
      </c>
      <c r="D8" s="12" t="s">
        <v>193</v>
      </c>
      <c r="E8" s="12" t="s">
        <v>194</v>
      </c>
      <c r="F8" s="12" t="s">
        <v>195</v>
      </c>
      <c r="G8" s="13">
        <v>46144.836985162001</v>
      </c>
      <c r="H8" s="12" t="s">
        <v>196</v>
      </c>
      <c r="I8" s="12" t="s">
        <v>197</v>
      </c>
      <c r="J8" s="12" t="s">
        <v>9</v>
      </c>
      <c r="K8" s="12" t="s">
        <v>127</v>
      </c>
      <c r="L8" s="12" t="s">
        <v>13</v>
      </c>
      <c r="M8" s="13">
        <v>46144.4066087963</v>
      </c>
      <c r="N8" s="13">
        <v>46144.4066087963</v>
      </c>
      <c r="O8" s="12"/>
      <c r="P8" s="12"/>
      <c r="Q8" s="12" t="s">
        <v>37</v>
      </c>
      <c r="R8" s="12" t="s">
        <v>20</v>
      </c>
      <c r="S8" s="12" t="s">
        <v>21</v>
      </c>
      <c r="T8" s="12" t="s">
        <v>18</v>
      </c>
      <c r="U8" s="12">
        <v>1</v>
      </c>
      <c r="V8" s="12">
        <v>204</v>
      </c>
      <c r="W8" s="12">
        <v>204</v>
      </c>
      <c r="X8" s="12" t="s">
        <v>5</v>
      </c>
      <c r="Y8" s="12" t="s">
        <v>199</v>
      </c>
      <c r="Z8" s="12" t="s">
        <v>200</v>
      </c>
      <c r="AA8" s="12" t="s">
        <v>201</v>
      </c>
      <c r="AB8" s="12"/>
      <c r="AC8" s="3"/>
      <c r="AD8" s="3">
        <v>15</v>
      </c>
      <c r="AE8" s="2">
        <v>240</v>
      </c>
      <c r="AF8">
        <v>900</v>
      </c>
      <c r="AG8" s="14">
        <v>-660</v>
      </c>
      <c r="AH8" s="14">
        <v>0</v>
      </c>
      <c r="AI8" s="14">
        <v>0</v>
      </c>
      <c r="AJ8" s="15" t="s">
        <v>202</v>
      </c>
      <c r="AK8" s="16"/>
      <c r="AL8" s="3"/>
    </row>
    <row r="9" spans="1:38" x14ac:dyDescent="0.3">
      <c r="A9" s="5">
        <v>2494</v>
      </c>
      <c r="B9" s="12" t="s">
        <v>0</v>
      </c>
      <c r="C9" s="12" t="s">
        <v>1</v>
      </c>
      <c r="D9" s="12" t="s">
        <v>193</v>
      </c>
      <c r="E9" s="12" t="s">
        <v>194</v>
      </c>
      <c r="F9" s="12" t="s">
        <v>195</v>
      </c>
      <c r="G9" s="13">
        <v>46144.836985162001</v>
      </c>
      <c r="H9" s="12" t="s">
        <v>196</v>
      </c>
      <c r="I9" s="12" t="s">
        <v>197</v>
      </c>
      <c r="J9" s="12" t="s">
        <v>9</v>
      </c>
      <c r="K9" s="12" t="s">
        <v>127</v>
      </c>
      <c r="L9" s="12" t="s">
        <v>13</v>
      </c>
      <c r="M9" s="13">
        <v>46144.4066087963</v>
      </c>
      <c r="N9" s="13">
        <v>46144.4066087963</v>
      </c>
      <c r="O9" s="12"/>
      <c r="P9" s="12"/>
      <c r="Q9" s="12" t="s">
        <v>37</v>
      </c>
      <c r="R9" s="12" t="s">
        <v>16</v>
      </c>
      <c r="S9" s="12" t="s">
        <v>17</v>
      </c>
      <c r="T9" s="12" t="s">
        <v>18</v>
      </c>
      <c r="U9" s="12">
        <v>1</v>
      </c>
      <c r="V9" s="12">
        <v>204</v>
      </c>
      <c r="W9" s="12">
        <v>204</v>
      </c>
      <c r="X9" s="12" t="s">
        <v>5</v>
      </c>
      <c r="Y9" s="12" t="s">
        <v>199</v>
      </c>
      <c r="Z9" s="12" t="s">
        <v>200</v>
      </c>
      <c r="AA9" s="12" t="s">
        <v>201</v>
      </c>
      <c r="AB9" s="12"/>
      <c r="AC9" s="3"/>
      <c r="AD9" s="3">
        <v>15</v>
      </c>
      <c r="AE9" s="2">
        <v>240</v>
      </c>
      <c r="AF9">
        <v>900</v>
      </c>
      <c r="AG9" s="14">
        <v>-660</v>
      </c>
      <c r="AH9" s="14">
        <v>0</v>
      </c>
      <c r="AI9" s="14">
        <v>0</v>
      </c>
      <c r="AJ9" s="15" t="s">
        <v>202</v>
      </c>
      <c r="AK9" s="16"/>
      <c r="AL9" s="3"/>
    </row>
    <row r="10" spans="1:38" x14ac:dyDescent="0.3">
      <c r="A10" s="5">
        <v>2499</v>
      </c>
      <c r="B10" s="12" t="s">
        <v>0</v>
      </c>
      <c r="C10" s="12" t="s">
        <v>1</v>
      </c>
      <c r="D10" s="12" t="s">
        <v>193</v>
      </c>
      <c r="E10" s="12" t="s">
        <v>194</v>
      </c>
      <c r="F10" s="12" t="s">
        <v>195</v>
      </c>
      <c r="G10" s="13">
        <v>46144.836985162001</v>
      </c>
      <c r="H10" s="12" t="s">
        <v>196</v>
      </c>
      <c r="I10" s="12" t="s">
        <v>197</v>
      </c>
      <c r="J10" s="12" t="s">
        <v>9</v>
      </c>
      <c r="K10" s="12" t="s">
        <v>127</v>
      </c>
      <c r="L10" s="12" t="s">
        <v>13</v>
      </c>
      <c r="M10" s="13">
        <v>46144.4066087963</v>
      </c>
      <c r="N10" s="13">
        <v>46144.4066087963</v>
      </c>
      <c r="O10" s="12"/>
      <c r="P10" s="12"/>
      <c r="Q10" s="12" t="s">
        <v>37</v>
      </c>
      <c r="R10" s="12" t="s">
        <v>28</v>
      </c>
      <c r="S10" s="12" t="s">
        <v>29</v>
      </c>
      <c r="T10" s="12" t="s">
        <v>14</v>
      </c>
      <c r="U10" s="12">
        <v>1</v>
      </c>
      <c r="V10" s="12">
        <v>297.5</v>
      </c>
      <c r="W10" s="12">
        <v>297.5</v>
      </c>
      <c r="X10" s="12" t="s">
        <v>5</v>
      </c>
      <c r="Y10" s="12" t="s">
        <v>199</v>
      </c>
      <c r="Z10" s="12" t="s">
        <v>200</v>
      </c>
      <c r="AA10" s="12" t="s">
        <v>201</v>
      </c>
      <c r="AB10" s="12"/>
      <c r="AC10" s="3"/>
      <c r="AD10" s="3">
        <v>15</v>
      </c>
      <c r="AE10" s="2">
        <v>350</v>
      </c>
      <c r="AF10">
        <v>900</v>
      </c>
      <c r="AG10" s="14">
        <v>-550</v>
      </c>
      <c r="AH10" s="14">
        <v>0</v>
      </c>
      <c r="AI10" s="14">
        <v>0</v>
      </c>
      <c r="AJ10" s="15" t="s">
        <v>202</v>
      </c>
      <c r="AK10" s="16"/>
      <c r="AL10" s="3"/>
    </row>
    <row r="11" spans="1:38" x14ac:dyDescent="0.3">
      <c r="A11" s="5">
        <v>2500</v>
      </c>
      <c r="B11" s="12" t="s">
        <v>0</v>
      </c>
      <c r="C11" s="12" t="s">
        <v>1</v>
      </c>
      <c r="D11" s="12" t="s">
        <v>193</v>
      </c>
      <c r="E11" s="12" t="s">
        <v>194</v>
      </c>
      <c r="F11" s="12" t="s">
        <v>195</v>
      </c>
      <c r="G11" s="13">
        <v>46144.836985162001</v>
      </c>
      <c r="H11" s="12" t="s">
        <v>196</v>
      </c>
      <c r="I11" s="12" t="s">
        <v>197</v>
      </c>
      <c r="J11" s="12" t="s">
        <v>9</v>
      </c>
      <c r="K11" s="12" t="s">
        <v>127</v>
      </c>
      <c r="L11" s="12" t="s">
        <v>13</v>
      </c>
      <c r="M11" s="13">
        <v>46144.4066087963</v>
      </c>
      <c r="N11" s="13">
        <v>46144.4066087963</v>
      </c>
      <c r="O11" s="12"/>
      <c r="P11" s="12"/>
      <c r="Q11" s="12" t="s">
        <v>37</v>
      </c>
      <c r="R11" s="12" t="s">
        <v>30</v>
      </c>
      <c r="S11" s="12" t="s">
        <v>31</v>
      </c>
      <c r="T11" s="12" t="s">
        <v>14</v>
      </c>
      <c r="U11" s="12">
        <v>1</v>
      </c>
      <c r="V11" s="12">
        <v>272</v>
      </c>
      <c r="W11" s="12">
        <v>272</v>
      </c>
      <c r="X11" s="12" t="s">
        <v>5</v>
      </c>
      <c r="Y11" s="12" t="s">
        <v>199</v>
      </c>
      <c r="Z11" s="12" t="s">
        <v>200</v>
      </c>
      <c r="AA11" s="12" t="s">
        <v>201</v>
      </c>
      <c r="AB11" s="12"/>
      <c r="AC11" s="3"/>
      <c r="AD11" s="3">
        <v>15</v>
      </c>
      <c r="AE11" s="2">
        <v>320</v>
      </c>
      <c r="AF11">
        <v>900</v>
      </c>
      <c r="AG11" s="14">
        <v>-580</v>
      </c>
      <c r="AH11" s="14">
        <v>0</v>
      </c>
      <c r="AI11" s="14">
        <v>0</v>
      </c>
      <c r="AJ11" s="15" t="s">
        <v>202</v>
      </c>
      <c r="AK11" s="16"/>
      <c r="AL11" s="3"/>
    </row>
    <row r="12" spans="1:38" x14ac:dyDescent="0.3">
      <c r="A12" s="5">
        <v>2501</v>
      </c>
      <c r="B12" s="12" t="s">
        <v>0</v>
      </c>
      <c r="C12" s="12" t="s">
        <v>1</v>
      </c>
      <c r="D12" s="12" t="s">
        <v>193</v>
      </c>
      <c r="E12" s="12" t="s">
        <v>194</v>
      </c>
      <c r="F12" s="12" t="s">
        <v>195</v>
      </c>
      <c r="G12" s="13">
        <v>46144.836985162001</v>
      </c>
      <c r="H12" s="12" t="s">
        <v>196</v>
      </c>
      <c r="I12" s="12" t="s">
        <v>197</v>
      </c>
      <c r="J12" s="12" t="s">
        <v>9</v>
      </c>
      <c r="K12" s="12" t="s">
        <v>127</v>
      </c>
      <c r="L12" s="12" t="s">
        <v>13</v>
      </c>
      <c r="M12" s="13">
        <v>46144.4066087963</v>
      </c>
      <c r="N12" s="13">
        <v>46144.4066087963</v>
      </c>
      <c r="O12" s="12"/>
      <c r="P12" s="12"/>
      <c r="Q12" s="12" t="s">
        <v>37</v>
      </c>
      <c r="R12" s="12" t="s">
        <v>32</v>
      </c>
      <c r="S12" s="12" t="s">
        <v>33</v>
      </c>
      <c r="T12" s="12" t="s">
        <v>14</v>
      </c>
      <c r="U12" s="12">
        <v>1</v>
      </c>
      <c r="V12" s="12">
        <v>629</v>
      </c>
      <c r="W12" s="12">
        <v>629</v>
      </c>
      <c r="X12" s="12" t="s">
        <v>5</v>
      </c>
      <c r="Y12" s="12" t="s">
        <v>199</v>
      </c>
      <c r="Z12" s="12" t="s">
        <v>200</v>
      </c>
      <c r="AA12" s="12" t="s">
        <v>201</v>
      </c>
      <c r="AB12" s="12"/>
      <c r="AC12" s="3"/>
      <c r="AD12" s="3">
        <v>15</v>
      </c>
      <c r="AE12" s="2">
        <v>740</v>
      </c>
      <c r="AF12">
        <v>900</v>
      </c>
      <c r="AG12" s="14">
        <v>-160</v>
      </c>
      <c r="AH12" s="14">
        <v>0</v>
      </c>
      <c r="AI12" s="14">
        <v>0</v>
      </c>
      <c r="AJ12" s="15" t="s">
        <v>202</v>
      </c>
      <c r="AK12" s="16"/>
      <c r="AL12" s="3"/>
    </row>
    <row r="13" spans="1:38" x14ac:dyDescent="0.3">
      <c r="A13" s="5">
        <v>2503</v>
      </c>
      <c r="B13" s="12" t="s">
        <v>0</v>
      </c>
      <c r="C13" s="12" t="s">
        <v>1</v>
      </c>
      <c r="D13" s="12" t="s">
        <v>193</v>
      </c>
      <c r="E13" s="12" t="s">
        <v>194</v>
      </c>
      <c r="F13" s="12" t="s">
        <v>195</v>
      </c>
      <c r="G13" s="13">
        <v>46144.836985162001</v>
      </c>
      <c r="H13" s="12" t="s">
        <v>196</v>
      </c>
      <c r="I13" s="12" t="s">
        <v>197</v>
      </c>
      <c r="J13" s="12" t="s">
        <v>9</v>
      </c>
      <c r="K13" s="12" t="s">
        <v>127</v>
      </c>
      <c r="L13" s="12" t="s">
        <v>13</v>
      </c>
      <c r="M13" s="13">
        <v>46144.4066087963</v>
      </c>
      <c r="N13" s="13">
        <v>46144.4066087963</v>
      </c>
      <c r="O13" s="12"/>
      <c r="P13" s="12"/>
      <c r="Q13" s="12" t="s">
        <v>37</v>
      </c>
      <c r="R13" s="12" t="s">
        <v>34</v>
      </c>
      <c r="S13" s="12" t="s">
        <v>35</v>
      </c>
      <c r="T13" s="12" t="s">
        <v>14</v>
      </c>
      <c r="U13" s="12">
        <v>1</v>
      </c>
      <c r="V13" s="12">
        <v>297.5</v>
      </c>
      <c r="W13" s="12">
        <v>297.5</v>
      </c>
      <c r="X13" s="12" t="s">
        <v>5</v>
      </c>
      <c r="Y13" s="12" t="s">
        <v>199</v>
      </c>
      <c r="Z13" s="12" t="s">
        <v>200</v>
      </c>
      <c r="AA13" s="12" t="s">
        <v>201</v>
      </c>
      <c r="AB13" s="12"/>
      <c r="AC13" s="3"/>
      <c r="AD13" s="3">
        <v>15</v>
      </c>
      <c r="AE13" s="2">
        <v>350</v>
      </c>
      <c r="AF13">
        <v>900</v>
      </c>
      <c r="AG13" s="14">
        <v>-550</v>
      </c>
      <c r="AH13" s="14">
        <v>0</v>
      </c>
      <c r="AI13" s="14">
        <v>0</v>
      </c>
      <c r="AJ13" s="15" t="s">
        <v>202</v>
      </c>
      <c r="AK13" s="16"/>
      <c r="AL13" s="3"/>
    </row>
    <row r="14" spans="1:38" x14ac:dyDescent="0.3">
      <c r="A14" s="5">
        <v>2504</v>
      </c>
      <c r="B14" s="12" t="s">
        <v>0</v>
      </c>
      <c r="C14" s="12" t="s">
        <v>1</v>
      </c>
      <c r="D14" s="12" t="s">
        <v>193</v>
      </c>
      <c r="E14" s="12" t="s">
        <v>194</v>
      </c>
      <c r="F14" s="12" t="s">
        <v>195</v>
      </c>
      <c r="G14" s="13">
        <v>46144.836985162001</v>
      </c>
      <c r="H14" s="12" t="s">
        <v>196</v>
      </c>
      <c r="I14" s="12" t="s">
        <v>197</v>
      </c>
      <c r="J14" s="12" t="s">
        <v>9</v>
      </c>
      <c r="K14" s="12" t="s">
        <v>127</v>
      </c>
      <c r="L14" s="12" t="s">
        <v>13</v>
      </c>
      <c r="M14" s="13">
        <v>46144.4066087963</v>
      </c>
      <c r="N14" s="13">
        <v>46144.4066087963</v>
      </c>
      <c r="O14" s="12"/>
      <c r="P14" s="12"/>
      <c r="Q14" s="12" t="s">
        <v>37</v>
      </c>
      <c r="R14" s="12" t="s">
        <v>43</v>
      </c>
      <c r="S14" s="12" t="s">
        <v>44</v>
      </c>
      <c r="T14" s="12" t="s">
        <v>19</v>
      </c>
      <c r="U14" s="12">
        <v>1</v>
      </c>
      <c r="V14" s="12">
        <v>884</v>
      </c>
      <c r="W14" s="12">
        <v>884</v>
      </c>
      <c r="X14" s="12" t="s">
        <v>5</v>
      </c>
      <c r="Y14" s="12" t="s">
        <v>199</v>
      </c>
      <c r="Z14" s="12" t="s">
        <v>200</v>
      </c>
      <c r="AA14" s="12" t="s">
        <v>201</v>
      </c>
      <c r="AB14" s="12"/>
      <c r="AC14" s="3"/>
      <c r="AD14" s="3">
        <v>15</v>
      </c>
      <c r="AE14" s="2">
        <v>1040</v>
      </c>
      <c r="AF14">
        <v>900</v>
      </c>
      <c r="AG14" s="14">
        <v>0</v>
      </c>
      <c r="AH14" s="14">
        <v>140</v>
      </c>
      <c r="AI14" s="14">
        <v>0</v>
      </c>
      <c r="AJ14" s="15" t="s">
        <v>204</v>
      </c>
      <c r="AK14" s="16"/>
      <c r="AL14" s="3"/>
    </row>
    <row r="15" spans="1:38" x14ac:dyDescent="0.3">
      <c r="A15" s="5">
        <v>2505</v>
      </c>
      <c r="B15" s="12" t="s">
        <v>0</v>
      </c>
      <c r="C15" s="12" t="s">
        <v>1</v>
      </c>
      <c r="D15" s="12" t="s">
        <v>193</v>
      </c>
      <c r="E15" s="12" t="s">
        <v>194</v>
      </c>
      <c r="F15" s="12" t="s">
        <v>195</v>
      </c>
      <c r="G15" s="13">
        <v>46144.836985162001</v>
      </c>
      <c r="H15" s="12" t="s">
        <v>196</v>
      </c>
      <c r="I15" s="12" t="s">
        <v>197</v>
      </c>
      <c r="J15" s="12" t="s">
        <v>9</v>
      </c>
      <c r="K15" s="12" t="s">
        <v>127</v>
      </c>
      <c r="L15" s="12" t="s">
        <v>13</v>
      </c>
      <c r="M15" s="13">
        <v>46144.4066087963</v>
      </c>
      <c r="N15" s="13">
        <v>46144.4066087963</v>
      </c>
      <c r="O15" s="12"/>
      <c r="P15" s="12"/>
      <c r="Q15" s="12" t="s">
        <v>37</v>
      </c>
      <c r="R15" s="12" t="s">
        <v>45</v>
      </c>
      <c r="S15" s="12" t="s">
        <v>46</v>
      </c>
      <c r="T15" s="12" t="s">
        <v>19</v>
      </c>
      <c r="U15" s="12">
        <v>1</v>
      </c>
      <c r="V15" s="12">
        <v>773.5</v>
      </c>
      <c r="W15" s="12">
        <v>773.5</v>
      </c>
      <c r="X15" s="12" t="s">
        <v>5</v>
      </c>
      <c r="Y15" s="12" t="s">
        <v>199</v>
      </c>
      <c r="Z15" s="12" t="s">
        <v>200</v>
      </c>
      <c r="AA15" s="12" t="s">
        <v>201</v>
      </c>
      <c r="AB15" s="12"/>
      <c r="AC15" s="3"/>
      <c r="AD15" s="3">
        <v>15</v>
      </c>
      <c r="AE15" s="2">
        <v>910</v>
      </c>
      <c r="AF15">
        <v>900</v>
      </c>
      <c r="AG15" s="14">
        <v>0</v>
      </c>
      <c r="AH15" s="14">
        <v>10</v>
      </c>
      <c r="AI15" s="14">
        <v>0</v>
      </c>
      <c r="AJ15" s="15" t="s">
        <v>205</v>
      </c>
      <c r="AK15" s="16"/>
      <c r="AL15" s="3"/>
    </row>
    <row r="16" spans="1:38" x14ac:dyDescent="0.3">
      <c r="A16" s="5">
        <v>11865</v>
      </c>
      <c r="B16" s="12" t="s">
        <v>0</v>
      </c>
      <c r="C16" s="12" t="s">
        <v>1</v>
      </c>
      <c r="D16" s="12" t="s">
        <v>206</v>
      </c>
      <c r="E16" s="12" t="s">
        <v>207</v>
      </c>
      <c r="F16" s="12" t="s">
        <v>208</v>
      </c>
      <c r="G16" s="13">
        <v>46029.791052361099</v>
      </c>
      <c r="H16" s="12" t="s">
        <v>209</v>
      </c>
      <c r="I16" s="12" t="s">
        <v>166</v>
      </c>
      <c r="J16" s="12" t="s">
        <v>2</v>
      </c>
      <c r="K16" s="12" t="s">
        <v>68</v>
      </c>
      <c r="L16" s="12" t="s">
        <v>13</v>
      </c>
      <c r="M16" s="13">
        <v>46029.604340277801</v>
      </c>
      <c r="N16" s="13">
        <v>46029.604340277801</v>
      </c>
      <c r="O16" s="12"/>
      <c r="P16" s="12" t="s">
        <v>210</v>
      </c>
      <c r="Q16" s="12" t="s">
        <v>37</v>
      </c>
      <c r="R16" s="12" t="s">
        <v>211</v>
      </c>
      <c r="S16" s="12" t="s">
        <v>212</v>
      </c>
      <c r="T16" s="12" t="s">
        <v>213</v>
      </c>
      <c r="U16" s="12">
        <v>1</v>
      </c>
      <c r="V16" s="12">
        <v>1028.5</v>
      </c>
      <c r="W16" s="12">
        <v>1028.5</v>
      </c>
      <c r="X16" s="12" t="s">
        <v>5</v>
      </c>
      <c r="Y16" s="12" t="s">
        <v>199</v>
      </c>
      <c r="Z16" s="12" t="s">
        <v>200</v>
      </c>
      <c r="AA16" s="12" t="s">
        <v>201</v>
      </c>
      <c r="AB16" s="12"/>
      <c r="AC16" s="3"/>
      <c r="AD16" s="3">
        <v>15</v>
      </c>
      <c r="AE16" s="2">
        <v>1210</v>
      </c>
      <c r="AF16">
        <v>900</v>
      </c>
      <c r="AG16" s="14">
        <v>0</v>
      </c>
      <c r="AH16" s="14">
        <v>310</v>
      </c>
      <c r="AI16" s="14">
        <v>0</v>
      </c>
      <c r="AJ16" s="15" t="s">
        <v>204</v>
      </c>
      <c r="AK16" s="16"/>
      <c r="AL16" s="3"/>
    </row>
    <row r="17" spans="1:38" x14ac:dyDescent="0.3">
      <c r="A17" s="5">
        <v>11866</v>
      </c>
      <c r="B17" s="12" t="s">
        <v>0</v>
      </c>
      <c r="C17" s="12" t="s">
        <v>1</v>
      </c>
      <c r="D17" s="12" t="s">
        <v>206</v>
      </c>
      <c r="E17" s="12" t="s">
        <v>207</v>
      </c>
      <c r="F17" s="12" t="s">
        <v>208</v>
      </c>
      <c r="G17" s="13">
        <v>46029.791052361099</v>
      </c>
      <c r="H17" s="12" t="s">
        <v>209</v>
      </c>
      <c r="I17" s="12" t="s">
        <v>166</v>
      </c>
      <c r="J17" s="12" t="s">
        <v>2</v>
      </c>
      <c r="K17" s="12" t="s">
        <v>68</v>
      </c>
      <c r="L17" s="12" t="s">
        <v>13</v>
      </c>
      <c r="M17" s="13">
        <v>46029.604340277801</v>
      </c>
      <c r="N17" s="13">
        <v>46029.604340277801</v>
      </c>
      <c r="O17" s="12"/>
      <c r="P17" s="12" t="s">
        <v>210</v>
      </c>
      <c r="Q17" s="12" t="s">
        <v>37</v>
      </c>
      <c r="R17" s="12" t="s">
        <v>214</v>
      </c>
      <c r="S17" s="12" t="s">
        <v>215</v>
      </c>
      <c r="T17" s="12" t="s">
        <v>19</v>
      </c>
      <c r="U17" s="12">
        <v>1</v>
      </c>
      <c r="V17" s="12">
        <v>2898.5</v>
      </c>
      <c r="W17" s="12">
        <v>2898.5</v>
      </c>
      <c r="X17" s="12" t="s">
        <v>5</v>
      </c>
      <c r="Y17" s="12" t="s">
        <v>199</v>
      </c>
      <c r="Z17" s="12" t="s">
        <v>200</v>
      </c>
      <c r="AA17" s="12" t="s">
        <v>201</v>
      </c>
      <c r="AB17" s="12"/>
      <c r="AC17" s="3"/>
      <c r="AD17" s="3">
        <v>15</v>
      </c>
      <c r="AE17" s="2">
        <v>3410</v>
      </c>
      <c r="AF17">
        <v>900</v>
      </c>
      <c r="AG17" s="14">
        <v>0</v>
      </c>
      <c r="AH17" s="14">
        <v>2510</v>
      </c>
      <c r="AI17" s="14">
        <v>0</v>
      </c>
      <c r="AJ17" s="15" t="s">
        <v>204</v>
      </c>
      <c r="AK17" s="16"/>
      <c r="AL17" s="3"/>
    </row>
    <row r="18" spans="1:38" x14ac:dyDescent="0.3">
      <c r="A18" s="5">
        <v>13281</v>
      </c>
      <c r="B18" s="12" t="s">
        <v>0</v>
      </c>
      <c r="C18" s="12" t="s">
        <v>1</v>
      </c>
      <c r="D18" s="12" t="s">
        <v>216</v>
      </c>
      <c r="E18" s="12" t="s">
        <v>217</v>
      </c>
      <c r="F18" s="12" t="s">
        <v>218</v>
      </c>
      <c r="G18" s="13">
        <v>46050.948354294</v>
      </c>
      <c r="H18" s="12" t="s">
        <v>219</v>
      </c>
      <c r="I18" s="12" t="s">
        <v>78</v>
      </c>
      <c r="J18" s="12" t="s">
        <v>2</v>
      </c>
      <c r="K18" s="12" t="s">
        <v>79</v>
      </c>
      <c r="L18" s="12" t="s">
        <v>13</v>
      </c>
      <c r="M18" s="13">
        <v>46050.827245370398</v>
      </c>
      <c r="N18" s="13">
        <v>46050.827245370398</v>
      </c>
      <c r="O18" s="12"/>
      <c r="P18" s="12" t="s">
        <v>220</v>
      </c>
      <c r="Q18" s="12" t="s">
        <v>37</v>
      </c>
      <c r="R18" s="12" t="s">
        <v>221</v>
      </c>
      <c r="S18" s="12" t="s">
        <v>222</v>
      </c>
      <c r="T18" s="12" t="s">
        <v>213</v>
      </c>
      <c r="U18" s="12">
        <v>1</v>
      </c>
      <c r="V18" s="12">
        <v>1139</v>
      </c>
      <c r="W18" s="12">
        <v>1139</v>
      </c>
      <c r="X18" s="12" t="s">
        <v>5</v>
      </c>
      <c r="Y18" s="12" t="s">
        <v>199</v>
      </c>
      <c r="Z18" s="12" t="s">
        <v>200</v>
      </c>
      <c r="AA18" s="12" t="s">
        <v>201</v>
      </c>
      <c r="AB18" s="12"/>
      <c r="AC18" s="3"/>
      <c r="AD18" s="3">
        <v>15</v>
      </c>
      <c r="AE18" s="2">
        <v>1340</v>
      </c>
      <c r="AF18">
        <v>900</v>
      </c>
      <c r="AG18" s="14">
        <v>0</v>
      </c>
      <c r="AH18" s="14">
        <v>440</v>
      </c>
      <c r="AI18" s="14">
        <v>0</v>
      </c>
      <c r="AJ18" s="15" t="s">
        <v>204</v>
      </c>
      <c r="AK18" s="16"/>
      <c r="AL18" s="3"/>
    </row>
    <row r="19" spans="1:38" x14ac:dyDescent="0.3">
      <c r="A19" s="5">
        <v>13282</v>
      </c>
      <c r="B19" s="12" t="s">
        <v>0</v>
      </c>
      <c r="C19" s="12" t="s">
        <v>1</v>
      </c>
      <c r="D19" s="12" t="s">
        <v>216</v>
      </c>
      <c r="E19" s="12" t="s">
        <v>217</v>
      </c>
      <c r="F19" s="12" t="s">
        <v>218</v>
      </c>
      <c r="G19" s="13">
        <v>46050.948354294</v>
      </c>
      <c r="H19" s="12" t="s">
        <v>219</v>
      </c>
      <c r="I19" s="12" t="s">
        <v>78</v>
      </c>
      <c r="J19" s="12" t="s">
        <v>2</v>
      </c>
      <c r="K19" s="12" t="s">
        <v>79</v>
      </c>
      <c r="L19" s="12" t="s">
        <v>13</v>
      </c>
      <c r="M19" s="13">
        <v>46050.553912037001</v>
      </c>
      <c r="N19" s="13">
        <v>46050.553912037001</v>
      </c>
      <c r="O19" s="12"/>
      <c r="P19" s="12" t="s">
        <v>223</v>
      </c>
      <c r="Q19" s="12" t="s">
        <v>37</v>
      </c>
      <c r="R19" s="12" t="s">
        <v>16</v>
      </c>
      <c r="S19" s="12" t="s">
        <v>17</v>
      </c>
      <c r="T19" s="12" t="s">
        <v>18</v>
      </c>
      <c r="U19" s="12">
        <v>1</v>
      </c>
      <c r="V19" s="12">
        <v>204</v>
      </c>
      <c r="W19" s="12">
        <v>204</v>
      </c>
      <c r="X19" s="12" t="s">
        <v>5</v>
      </c>
      <c r="Y19" s="12" t="s">
        <v>199</v>
      </c>
      <c r="Z19" s="12" t="s">
        <v>200</v>
      </c>
      <c r="AA19" s="12" t="s">
        <v>201</v>
      </c>
      <c r="AB19" s="12"/>
      <c r="AC19" s="3"/>
      <c r="AD19" s="3">
        <v>15</v>
      </c>
      <c r="AE19" s="2">
        <v>240</v>
      </c>
      <c r="AF19">
        <v>900</v>
      </c>
      <c r="AG19" s="14">
        <v>-660</v>
      </c>
      <c r="AH19" s="14">
        <v>0</v>
      </c>
      <c r="AI19" s="14">
        <v>0</v>
      </c>
      <c r="AJ19" s="15" t="s">
        <v>202</v>
      </c>
      <c r="AK19" s="16"/>
      <c r="AL19" s="3"/>
    </row>
    <row r="20" spans="1:38" x14ac:dyDescent="0.3">
      <c r="A20" s="5">
        <v>13285</v>
      </c>
      <c r="B20" s="12" t="s">
        <v>0</v>
      </c>
      <c r="C20" s="12" t="s">
        <v>1</v>
      </c>
      <c r="D20" s="12" t="s">
        <v>216</v>
      </c>
      <c r="E20" s="12" t="s">
        <v>217</v>
      </c>
      <c r="F20" s="12" t="s">
        <v>218</v>
      </c>
      <c r="G20" s="13">
        <v>46050.948354294</v>
      </c>
      <c r="H20" s="12" t="s">
        <v>219</v>
      </c>
      <c r="I20" s="12" t="s">
        <v>78</v>
      </c>
      <c r="J20" s="12" t="s">
        <v>9</v>
      </c>
      <c r="K20" s="12" t="s">
        <v>79</v>
      </c>
      <c r="L20" s="12" t="s">
        <v>13</v>
      </c>
      <c r="M20" s="13">
        <v>46050.553912037001</v>
      </c>
      <c r="N20" s="13">
        <v>46050.553912037001</v>
      </c>
      <c r="O20" s="12"/>
      <c r="P20" s="12"/>
      <c r="Q20" s="12" t="s">
        <v>37</v>
      </c>
      <c r="R20" s="12" t="s">
        <v>43</v>
      </c>
      <c r="S20" s="12" t="s">
        <v>44</v>
      </c>
      <c r="T20" s="12" t="s">
        <v>19</v>
      </c>
      <c r="U20" s="12">
        <v>1</v>
      </c>
      <c r="V20" s="12">
        <v>884</v>
      </c>
      <c r="W20" s="12">
        <v>884</v>
      </c>
      <c r="X20" s="12" t="s">
        <v>5</v>
      </c>
      <c r="Y20" s="12" t="s">
        <v>199</v>
      </c>
      <c r="Z20" s="12" t="s">
        <v>200</v>
      </c>
      <c r="AA20" s="12" t="s">
        <v>201</v>
      </c>
      <c r="AB20" s="12"/>
      <c r="AC20" s="3"/>
      <c r="AD20" s="3">
        <v>15</v>
      </c>
      <c r="AE20" s="2">
        <v>1040</v>
      </c>
      <c r="AF20">
        <v>900</v>
      </c>
      <c r="AG20" s="14">
        <v>0</v>
      </c>
      <c r="AH20" s="14">
        <v>140</v>
      </c>
      <c r="AI20" s="14">
        <v>0</v>
      </c>
      <c r="AJ20" s="15" t="s">
        <v>204</v>
      </c>
      <c r="AK20" s="16"/>
      <c r="AL20" s="3"/>
    </row>
    <row r="21" spans="1:38" x14ac:dyDescent="0.3">
      <c r="A21" s="5">
        <v>13286</v>
      </c>
      <c r="B21" s="12" t="s">
        <v>0</v>
      </c>
      <c r="C21" s="12" t="s">
        <v>1</v>
      </c>
      <c r="D21" s="12" t="s">
        <v>216</v>
      </c>
      <c r="E21" s="12" t="s">
        <v>217</v>
      </c>
      <c r="F21" s="12" t="s">
        <v>218</v>
      </c>
      <c r="G21" s="13">
        <v>46050.948354294</v>
      </c>
      <c r="H21" s="12" t="s">
        <v>219</v>
      </c>
      <c r="I21" s="12" t="s">
        <v>78</v>
      </c>
      <c r="J21" s="12" t="s">
        <v>9</v>
      </c>
      <c r="K21" s="12" t="s">
        <v>79</v>
      </c>
      <c r="L21" s="12" t="s">
        <v>13</v>
      </c>
      <c r="M21" s="13">
        <v>46050.553912037001</v>
      </c>
      <c r="N21" s="13">
        <v>46050.553912037001</v>
      </c>
      <c r="O21" s="12"/>
      <c r="P21" s="12"/>
      <c r="Q21" s="12" t="s">
        <v>37</v>
      </c>
      <c r="R21" s="12" t="s">
        <v>45</v>
      </c>
      <c r="S21" s="12" t="s">
        <v>46</v>
      </c>
      <c r="T21" s="12" t="s">
        <v>19</v>
      </c>
      <c r="U21" s="12">
        <v>1</v>
      </c>
      <c r="V21" s="12">
        <v>773.5</v>
      </c>
      <c r="W21" s="12">
        <v>773.5</v>
      </c>
      <c r="X21" s="12" t="s">
        <v>5</v>
      </c>
      <c r="Y21" s="12" t="s">
        <v>199</v>
      </c>
      <c r="Z21" s="12" t="s">
        <v>200</v>
      </c>
      <c r="AA21" s="12" t="s">
        <v>201</v>
      </c>
      <c r="AB21" s="12"/>
      <c r="AC21" s="3"/>
      <c r="AD21" s="3">
        <v>15</v>
      </c>
      <c r="AE21" s="2">
        <v>910</v>
      </c>
      <c r="AF21">
        <v>900</v>
      </c>
      <c r="AG21" s="14">
        <v>0</v>
      </c>
      <c r="AH21" s="14">
        <v>10</v>
      </c>
      <c r="AI21" s="14">
        <v>0</v>
      </c>
      <c r="AJ21" s="15" t="s">
        <v>205</v>
      </c>
      <c r="AK21" s="16"/>
      <c r="AL21" s="3"/>
    </row>
    <row r="22" spans="1:38" x14ac:dyDescent="0.3">
      <c r="A22" s="5">
        <f t="shared" ref="A22:A24" si="0">A21+1</f>
        <v>13287</v>
      </c>
      <c r="B22" s="12" t="s">
        <v>0</v>
      </c>
      <c r="C22" s="12" t="s">
        <v>1</v>
      </c>
      <c r="D22" s="12" t="s">
        <v>224</v>
      </c>
      <c r="E22" s="12" t="s">
        <v>225</v>
      </c>
      <c r="F22" s="12" t="s">
        <v>226</v>
      </c>
      <c r="G22" s="13">
        <v>46165.260987870402</v>
      </c>
      <c r="H22" s="12" t="s">
        <v>227</v>
      </c>
      <c r="I22" s="12" t="s">
        <v>228</v>
      </c>
      <c r="J22" s="12" t="s">
        <v>2</v>
      </c>
      <c r="K22" s="12" t="s">
        <v>229</v>
      </c>
      <c r="L22" s="12" t="s">
        <v>11</v>
      </c>
      <c r="M22" s="13">
        <v>46164.774305555598</v>
      </c>
      <c r="N22" s="13">
        <v>46164.774305555598</v>
      </c>
      <c r="O22" s="13">
        <v>46165.020833333299</v>
      </c>
      <c r="P22" s="12" t="s">
        <v>230</v>
      </c>
      <c r="Q22" s="12" t="s">
        <v>38</v>
      </c>
      <c r="R22" s="12" t="s">
        <v>231</v>
      </c>
      <c r="S22" s="12" t="s">
        <v>232</v>
      </c>
      <c r="T22" s="12" t="s">
        <v>10</v>
      </c>
      <c r="U22" s="12">
        <v>1</v>
      </c>
      <c r="V22" s="12">
        <v>960</v>
      </c>
      <c r="W22" s="12">
        <v>960</v>
      </c>
      <c r="X22" s="12" t="s">
        <v>5</v>
      </c>
      <c r="Y22" s="12" t="s">
        <v>199</v>
      </c>
      <c r="Z22" s="12" t="s">
        <v>200</v>
      </c>
      <c r="AA22" s="12" t="s">
        <v>201</v>
      </c>
      <c r="AB22" s="12">
        <v>6</v>
      </c>
      <c r="AC22" s="3"/>
      <c r="AD22" s="3"/>
      <c r="AE22" s="2">
        <f t="shared" ref="AE22:AE24" si="1">+V22*100/(100+AC22)*100/(100-AD22)</f>
        <v>960</v>
      </c>
      <c r="AF22">
        <f t="shared" ref="AF22" si="2">AB22*150</f>
        <v>900</v>
      </c>
      <c r="AG22" s="14">
        <f t="shared" ref="AG22:AG24" si="3">ROUND(U22*IF(ISNA(AF22),0,IF(AF22&gt;AE22, AE22-AF22,0)),0)</f>
        <v>0</v>
      </c>
      <c r="AH22" s="14">
        <f t="shared" ref="AH22:AH24" si="4">+ROUND(U22*IF(ISNA(AF22),0,IF(AF22&gt;AE22,0, AE22-AF22)),0)</f>
        <v>60</v>
      </c>
      <c r="AI22" s="14">
        <f t="shared" ref="AI22:AI24" si="5">+ROUND(IF(ISNA(AF22),AE22,0),0)</f>
        <v>0</v>
      </c>
      <c r="AJ22" s="15" t="str">
        <f t="shared" ref="AJ22:AJ24" si="6">IF(AI22&lt;&gt;0,"Service name not found in SOC",IF(AG22&lt;0,IF(AG22&gt;=-10,"Round Off Difference","Shortly Billed"),IF(AH22&gt;0,IF(AH22&lt;=10,"Round Off Difference","Excess Billed"),"No Discrepancy")))</f>
        <v>Excess Billed</v>
      </c>
      <c r="AK22" s="16"/>
      <c r="AL22" s="3"/>
    </row>
    <row r="23" spans="1:38" x14ac:dyDescent="0.3">
      <c r="A23" s="5">
        <f t="shared" si="0"/>
        <v>13288</v>
      </c>
      <c r="B23" s="12" t="s">
        <v>0</v>
      </c>
      <c r="C23" s="12" t="s">
        <v>1</v>
      </c>
      <c r="D23" s="12" t="s">
        <v>216</v>
      </c>
      <c r="E23" s="12" t="s">
        <v>217</v>
      </c>
      <c r="F23" s="12" t="s">
        <v>218</v>
      </c>
      <c r="G23" s="13">
        <v>46050.948354294</v>
      </c>
      <c r="H23" s="12" t="s">
        <v>219</v>
      </c>
      <c r="I23" s="12" t="s">
        <v>78</v>
      </c>
      <c r="J23" s="12" t="s">
        <v>78</v>
      </c>
      <c r="K23" s="12" t="s">
        <v>79</v>
      </c>
      <c r="L23" s="12" t="s">
        <v>65</v>
      </c>
      <c r="M23" s="13">
        <v>46050.806889236097</v>
      </c>
      <c r="N23" s="13">
        <v>46050.806889236097</v>
      </c>
      <c r="O23" s="12"/>
      <c r="P23" s="12" t="s">
        <v>233</v>
      </c>
      <c r="Q23" s="12" t="s">
        <v>37</v>
      </c>
      <c r="R23" s="12" t="s">
        <v>234</v>
      </c>
      <c r="S23" s="12" t="s">
        <v>235</v>
      </c>
      <c r="T23" s="12" t="s">
        <v>114</v>
      </c>
      <c r="U23" s="12">
        <v>1</v>
      </c>
      <c r="V23" s="12">
        <v>660</v>
      </c>
      <c r="W23" s="12">
        <v>660</v>
      </c>
      <c r="X23" s="12" t="s">
        <v>5</v>
      </c>
      <c r="Y23" s="12" t="s">
        <v>199</v>
      </c>
      <c r="Z23" s="12" t="s">
        <v>200</v>
      </c>
      <c r="AA23" s="12" t="s">
        <v>201</v>
      </c>
      <c r="AB23" s="12"/>
      <c r="AC23" s="3"/>
      <c r="AD23" s="3"/>
      <c r="AE23" s="2">
        <f t="shared" si="1"/>
        <v>660</v>
      </c>
      <c r="AF23">
        <v>900</v>
      </c>
      <c r="AG23" s="14">
        <f t="shared" si="3"/>
        <v>-240</v>
      </c>
      <c r="AH23" s="14">
        <f t="shared" si="4"/>
        <v>0</v>
      </c>
      <c r="AI23" s="14">
        <f t="shared" si="5"/>
        <v>0</v>
      </c>
      <c r="AJ23" s="15" t="str">
        <f t="shared" si="6"/>
        <v>Shortly Billed</v>
      </c>
      <c r="AK23" s="16"/>
      <c r="AL23" s="3"/>
    </row>
    <row r="24" spans="1:38" x14ac:dyDescent="0.3">
      <c r="A24" s="5">
        <f t="shared" si="0"/>
        <v>13289</v>
      </c>
      <c r="B24" s="12" t="s">
        <v>0</v>
      </c>
      <c r="C24" s="12" t="s">
        <v>1</v>
      </c>
      <c r="D24" s="12" t="s">
        <v>216</v>
      </c>
      <c r="E24" s="12" t="s">
        <v>217</v>
      </c>
      <c r="F24" s="12" t="s">
        <v>218</v>
      </c>
      <c r="G24" s="13">
        <v>46050.948354294</v>
      </c>
      <c r="H24" s="12" t="s">
        <v>219</v>
      </c>
      <c r="I24" s="12" t="s">
        <v>78</v>
      </c>
      <c r="J24" s="12" t="s">
        <v>78</v>
      </c>
      <c r="K24" s="12" t="s">
        <v>79</v>
      </c>
      <c r="L24" s="12" t="s">
        <v>236</v>
      </c>
      <c r="M24" s="13">
        <v>46050.806886574101</v>
      </c>
      <c r="N24" s="13">
        <v>46050.806886574101</v>
      </c>
      <c r="O24" s="12"/>
      <c r="P24" s="12" t="s">
        <v>233</v>
      </c>
      <c r="Q24" s="12" t="s">
        <v>37</v>
      </c>
      <c r="R24" s="12" t="s">
        <v>237</v>
      </c>
      <c r="S24" s="12" t="s">
        <v>238</v>
      </c>
      <c r="T24" s="12" t="s">
        <v>114</v>
      </c>
      <c r="U24" s="12">
        <v>1</v>
      </c>
      <c r="V24" s="12">
        <v>7200</v>
      </c>
      <c r="W24" s="12">
        <v>7200</v>
      </c>
      <c r="X24" s="12" t="s">
        <v>5</v>
      </c>
      <c r="Y24" s="12" t="s">
        <v>199</v>
      </c>
      <c r="Z24" s="12" t="s">
        <v>200</v>
      </c>
      <c r="AA24" s="12" t="s">
        <v>201</v>
      </c>
      <c r="AB24" s="12"/>
      <c r="AC24" s="3"/>
      <c r="AD24" s="3"/>
      <c r="AE24" s="2">
        <f t="shared" si="1"/>
        <v>7200</v>
      </c>
      <c r="AF24">
        <v>900</v>
      </c>
      <c r="AG24" s="14">
        <f t="shared" si="3"/>
        <v>0</v>
      </c>
      <c r="AH24" s="14">
        <f t="shared" si="4"/>
        <v>6300</v>
      </c>
      <c r="AI24" s="14">
        <f t="shared" si="5"/>
        <v>0</v>
      </c>
      <c r="AJ24" s="15" t="str">
        <f t="shared" si="6"/>
        <v>Excess Billed</v>
      </c>
      <c r="AK24" s="16"/>
      <c r="AL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Mikul Jain</dc:creator>
  <cp:lastModifiedBy>Mikul Jain</cp:lastModifiedBy>
  <dcterms:created xsi:type="dcterms:W3CDTF">2026-06-22T05:51:15Z</dcterms:created>
  <dcterms:modified xsi:type="dcterms:W3CDTF">2026-06-27T09:47:55Z</dcterms:modified>
</cp:coreProperties>
</file>